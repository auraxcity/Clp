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RESO BANK\CLP 2O26\"/>
    </mc:Choice>
  </mc:AlternateContent>
  <xr:revisionPtr revIDLastSave="0" documentId="13_ncr:1_{7E62C91A-02DF-45A7-B285-B0ABCC625FB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shboard" sheetId="1" r:id="rId1"/>
    <sheet name="Investors" sheetId="2" r:id="rId2"/>
    <sheet name="Loans" sheetId="3" r:id="rId3"/>
  </sheets>
  <calcPr calcId="181029"/>
</workbook>
</file>

<file path=xl/calcChain.xml><?xml version="1.0" encoding="utf-8"?>
<calcChain xmlns="http://schemas.openxmlformats.org/spreadsheetml/2006/main">
  <c r="D26" i="3" l="1"/>
  <c r="E26" i="3" s="1"/>
  <c r="L483" i="3"/>
  <c r="H483" i="3"/>
  <c r="D483" i="3"/>
  <c r="E483" i="3" s="1"/>
  <c r="L482" i="3"/>
  <c r="H482" i="3"/>
  <c r="D482" i="3"/>
  <c r="E482" i="3" s="1"/>
  <c r="L481" i="3"/>
  <c r="H481" i="3"/>
  <c r="D481" i="3"/>
  <c r="E481" i="3" s="1"/>
  <c r="L480" i="3"/>
  <c r="H480" i="3"/>
  <c r="D480" i="3"/>
  <c r="E480" i="3" s="1"/>
  <c r="L479" i="3"/>
  <c r="H479" i="3"/>
  <c r="D479" i="3"/>
  <c r="E479" i="3" s="1"/>
  <c r="L478" i="3"/>
  <c r="H478" i="3"/>
  <c r="D478" i="3"/>
  <c r="E478" i="3" s="1"/>
  <c r="L477" i="3"/>
  <c r="H477" i="3"/>
  <c r="D477" i="3"/>
  <c r="E477" i="3" s="1"/>
  <c r="L476" i="3"/>
  <c r="H476" i="3"/>
  <c r="D476" i="3"/>
  <c r="E476" i="3" s="1"/>
  <c r="L475" i="3"/>
  <c r="H475" i="3"/>
  <c r="D475" i="3"/>
  <c r="E475" i="3" s="1"/>
  <c r="L474" i="3"/>
  <c r="H474" i="3"/>
  <c r="D474" i="3"/>
  <c r="E474" i="3" s="1"/>
  <c r="L473" i="3"/>
  <c r="H473" i="3"/>
  <c r="D473" i="3"/>
  <c r="E473" i="3" s="1"/>
  <c r="L472" i="3"/>
  <c r="H472" i="3"/>
  <c r="D472" i="3"/>
  <c r="E472" i="3" s="1"/>
  <c r="L471" i="3"/>
  <c r="H471" i="3"/>
  <c r="D471" i="3"/>
  <c r="E471" i="3" s="1"/>
  <c r="L470" i="3"/>
  <c r="H470" i="3"/>
  <c r="D470" i="3"/>
  <c r="E470" i="3" s="1"/>
  <c r="L469" i="3"/>
  <c r="H469" i="3"/>
  <c r="D469" i="3"/>
  <c r="E469" i="3" s="1"/>
  <c r="L468" i="3"/>
  <c r="H468" i="3"/>
  <c r="D468" i="3"/>
  <c r="E468" i="3" s="1"/>
  <c r="L467" i="3"/>
  <c r="H467" i="3"/>
  <c r="D467" i="3"/>
  <c r="E467" i="3" s="1"/>
  <c r="L466" i="3"/>
  <c r="H466" i="3"/>
  <c r="D466" i="3"/>
  <c r="E466" i="3" s="1"/>
  <c r="L465" i="3"/>
  <c r="H465" i="3"/>
  <c r="D465" i="3"/>
  <c r="E465" i="3" s="1"/>
  <c r="L464" i="3"/>
  <c r="H464" i="3"/>
  <c r="D464" i="3"/>
  <c r="E464" i="3" s="1"/>
  <c r="L463" i="3"/>
  <c r="H463" i="3"/>
  <c r="D463" i="3"/>
  <c r="E463" i="3" s="1"/>
  <c r="L462" i="3"/>
  <c r="H462" i="3"/>
  <c r="D462" i="3"/>
  <c r="E462" i="3" s="1"/>
  <c r="L461" i="3"/>
  <c r="H461" i="3"/>
  <c r="D461" i="3"/>
  <c r="E461" i="3" s="1"/>
  <c r="L460" i="3"/>
  <c r="H460" i="3"/>
  <c r="D460" i="3"/>
  <c r="E460" i="3" s="1"/>
  <c r="L459" i="3"/>
  <c r="H459" i="3"/>
  <c r="D459" i="3"/>
  <c r="E459" i="3" s="1"/>
  <c r="L458" i="3"/>
  <c r="H458" i="3"/>
  <c r="D458" i="3"/>
  <c r="E458" i="3" s="1"/>
  <c r="L457" i="3"/>
  <c r="H457" i="3"/>
  <c r="D457" i="3"/>
  <c r="E457" i="3" s="1"/>
  <c r="L456" i="3"/>
  <c r="H456" i="3"/>
  <c r="D456" i="3"/>
  <c r="E456" i="3" s="1"/>
  <c r="L455" i="3"/>
  <c r="H455" i="3"/>
  <c r="D455" i="3"/>
  <c r="E455" i="3" s="1"/>
  <c r="L454" i="3"/>
  <c r="H454" i="3"/>
  <c r="D454" i="3"/>
  <c r="E454" i="3" s="1"/>
  <c r="L453" i="3"/>
  <c r="H453" i="3"/>
  <c r="D453" i="3"/>
  <c r="E453" i="3" s="1"/>
  <c r="L452" i="3"/>
  <c r="H452" i="3"/>
  <c r="D452" i="3"/>
  <c r="E452" i="3" s="1"/>
  <c r="L451" i="3"/>
  <c r="H451" i="3"/>
  <c r="D451" i="3"/>
  <c r="E451" i="3" s="1"/>
  <c r="L450" i="3"/>
  <c r="H450" i="3"/>
  <c r="D450" i="3"/>
  <c r="E450" i="3" s="1"/>
  <c r="L449" i="3"/>
  <c r="H449" i="3"/>
  <c r="D449" i="3"/>
  <c r="E449" i="3" s="1"/>
  <c r="L448" i="3"/>
  <c r="H448" i="3"/>
  <c r="D448" i="3"/>
  <c r="E448" i="3" s="1"/>
  <c r="L447" i="3"/>
  <c r="H447" i="3"/>
  <c r="D447" i="3"/>
  <c r="E447" i="3" s="1"/>
  <c r="L446" i="3"/>
  <c r="H446" i="3"/>
  <c r="D446" i="3"/>
  <c r="E446" i="3" s="1"/>
  <c r="L445" i="3"/>
  <c r="H445" i="3"/>
  <c r="D445" i="3"/>
  <c r="E445" i="3" s="1"/>
  <c r="L444" i="3"/>
  <c r="H444" i="3"/>
  <c r="D444" i="3"/>
  <c r="E444" i="3" s="1"/>
  <c r="L443" i="3"/>
  <c r="H443" i="3"/>
  <c r="D443" i="3"/>
  <c r="E443" i="3" s="1"/>
  <c r="L442" i="3"/>
  <c r="H442" i="3"/>
  <c r="D442" i="3"/>
  <c r="E442" i="3" s="1"/>
  <c r="L441" i="3"/>
  <c r="H441" i="3"/>
  <c r="D441" i="3"/>
  <c r="E441" i="3" s="1"/>
  <c r="L440" i="3"/>
  <c r="H440" i="3"/>
  <c r="D440" i="3"/>
  <c r="E440" i="3" s="1"/>
  <c r="L439" i="3"/>
  <c r="H439" i="3"/>
  <c r="D439" i="3"/>
  <c r="E439" i="3" s="1"/>
  <c r="L438" i="3"/>
  <c r="H438" i="3"/>
  <c r="D438" i="3"/>
  <c r="E438" i="3" s="1"/>
  <c r="L437" i="3"/>
  <c r="H437" i="3"/>
  <c r="D437" i="3"/>
  <c r="E437" i="3" s="1"/>
  <c r="L436" i="3"/>
  <c r="H436" i="3"/>
  <c r="D436" i="3"/>
  <c r="E436" i="3" s="1"/>
  <c r="L435" i="3"/>
  <c r="H435" i="3"/>
  <c r="D435" i="3"/>
  <c r="E435" i="3" s="1"/>
  <c r="L434" i="3"/>
  <c r="H434" i="3"/>
  <c r="D434" i="3"/>
  <c r="E434" i="3" s="1"/>
  <c r="L433" i="3"/>
  <c r="H433" i="3"/>
  <c r="D433" i="3"/>
  <c r="E433" i="3" s="1"/>
  <c r="L432" i="3"/>
  <c r="H432" i="3"/>
  <c r="D432" i="3"/>
  <c r="E432" i="3" s="1"/>
  <c r="L431" i="3"/>
  <c r="H431" i="3"/>
  <c r="D431" i="3"/>
  <c r="E431" i="3" s="1"/>
  <c r="L430" i="3"/>
  <c r="H430" i="3"/>
  <c r="D430" i="3"/>
  <c r="E430" i="3" s="1"/>
  <c r="L429" i="3"/>
  <c r="H429" i="3"/>
  <c r="D429" i="3"/>
  <c r="E429" i="3" s="1"/>
  <c r="L428" i="3"/>
  <c r="H428" i="3"/>
  <c r="D428" i="3"/>
  <c r="E428" i="3" s="1"/>
  <c r="L427" i="3"/>
  <c r="H427" i="3"/>
  <c r="D427" i="3"/>
  <c r="E427" i="3" s="1"/>
  <c r="L426" i="3"/>
  <c r="H426" i="3"/>
  <c r="D426" i="3"/>
  <c r="E426" i="3" s="1"/>
  <c r="L425" i="3"/>
  <c r="H425" i="3"/>
  <c r="D425" i="3"/>
  <c r="E425" i="3" s="1"/>
  <c r="L424" i="3"/>
  <c r="H424" i="3"/>
  <c r="D424" i="3"/>
  <c r="E424" i="3" s="1"/>
  <c r="L423" i="3"/>
  <c r="H423" i="3"/>
  <c r="D423" i="3"/>
  <c r="E423" i="3" s="1"/>
  <c r="L422" i="3"/>
  <c r="H422" i="3"/>
  <c r="D422" i="3"/>
  <c r="E422" i="3" s="1"/>
  <c r="L421" i="3"/>
  <c r="H421" i="3"/>
  <c r="D421" i="3"/>
  <c r="E421" i="3" s="1"/>
  <c r="L420" i="3"/>
  <c r="H420" i="3"/>
  <c r="D420" i="3"/>
  <c r="E420" i="3" s="1"/>
  <c r="L419" i="3"/>
  <c r="H419" i="3"/>
  <c r="D419" i="3"/>
  <c r="E419" i="3" s="1"/>
  <c r="L418" i="3"/>
  <c r="H418" i="3"/>
  <c r="D418" i="3"/>
  <c r="E418" i="3" s="1"/>
  <c r="L417" i="3"/>
  <c r="H417" i="3"/>
  <c r="D417" i="3"/>
  <c r="E417" i="3" s="1"/>
  <c r="L416" i="3"/>
  <c r="H416" i="3"/>
  <c r="D416" i="3"/>
  <c r="E416" i="3" s="1"/>
  <c r="L415" i="3"/>
  <c r="H415" i="3"/>
  <c r="D415" i="3"/>
  <c r="E415" i="3" s="1"/>
  <c r="L414" i="3"/>
  <c r="H414" i="3"/>
  <c r="D414" i="3"/>
  <c r="E414" i="3" s="1"/>
  <c r="L413" i="3"/>
  <c r="H413" i="3"/>
  <c r="D413" i="3"/>
  <c r="E413" i="3" s="1"/>
  <c r="L412" i="3"/>
  <c r="H412" i="3"/>
  <c r="D412" i="3"/>
  <c r="E412" i="3" s="1"/>
  <c r="L411" i="3"/>
  <c r="H411" i="3"/>
  <c r="D411" i="3"/>
  <c r="E411" i="3" s="1"/>
  <c r="L410" i="3"/>
  <c r="H410" i="3"/>
  <c r="D410" i="3"/>
  <c r="E410" i="3" s="1"/>
  <c r="L409" i="3"/>
  <c r="H409" i="3"/>
  <c r="D409" i="3"/>
  <c r="E409" i="3" s="1"/>
  <c r="L408" i="3"/>
  <c r="H408" i="3"/>
  <c r="D408" i="3"/>
  <c r="E408" i="3" s="1"/>
  <c r="L407" i="3"/>
  <c r="H407" i="3"/>
  <c r="D407" i="3"/>
  <c r="E407" i="3" s="1"/>
  <c r="L406" i="3"/>
  <c r="H406" i="3"/>
  <c r="D406" i="3"/>
  <c r="E406" i="3" s="1"/>
  <c r="L405" i="3"/>
  <c r="H405" i="3"/>
  <c r="D405" i="3"/>
  <c r="E405" i="3" s="1"/>
  <c r="L404" i="3"/>
  <c r="H404" i="3"/>
  <c r="D404" i="3"/>
  <c r="E404" i="3" s="1"/>
  <c r="L403" i="3"/>
  <c r="H403" i="3"/>
  <c r="D403" i="3"/>
  <c r="E403" i="3" s="1"/>
  <c r="L402" i="3"/>
  <c r="H402" i="3"/>
  <c r="D402" i="3"/>
  <c r="E402" i="3" s="1"/>
  <c r="L401" i="3"/>
  <c r="H401" i="3"/>
  <c r="D401" i="3"/>
  <c r="E401" i="3" s="1"/>
  <c r="L400" i="3"/>
  <c r="H400" i="3"/>
  <c r="D400" i="3"/>
  <c r="E400" i="3" s="1"/>
  <c r="L399" i="3"/>
  <c r="H399" i="3"/>
  <c r="D399" i="3"/>
  <c r="E399" i="3" s="1"/>
  <c r="L398" i="3"/>
  <c r="H398" i="3"/>
  <c r="D398" i="3"/>
  <c r="E398" i="3" s="1"/>
  <c r="L397" i="3"/>
  <c r="H397" i="3"/>
  <c r="D397" i="3"/>
  <c r="E397" i="3" s="1"/>
  <c r="L396" i="3"/>
  <c r="H396" i="3"/>
  <c r="D396" i="3"/>
  <c r="E396" i="3" s="1"/>
  <c r="L395" i="3"/>
  <c r="H395" i="3"/>
  <c r="D395" i="3"/>
  <c r="E395" i="3" s="1"/>
  <c r="L394" i="3"/>
  <c r="H394" i="3"/>
  <c r="D394" i="3"/>
  <c r="E394" i="3" s="1"/>
  <c r="L393" i="3"/>
  <c r="H393" i="3"/>
  <c r="D393" i="3"/>
  <c r="E393" i="3" s="1"/>
  <c r="L392" i="3"/>
  <c r="H392" i="3"/>
  <c r="D392" i="3"/>
  <c r="E392" i="3" s="1"/>
  <c r="L391" i="3"/>
  <c r="H391" i="3"/>
  <c r="D391" i="3"/>
  <c r="E391" i="3" s="1"/>
  <c r="L390" i="3"/>
  <c r="H390" i="3"/>
  <c r="D390" i="3"/>
  <c r="E390" i="3" s="1"/>
  <c r="L389" i="3"/>
  <c r="H389" i="3"/>
  <c r="D389" i="3"/>
  <c r="E389" i="3" s="1"/>
  <c r="L388" i="3"/>
  <c r="H388" i="3"/>
  <c r="D388" i="3"/>
  <c r="E388" i="3" s="1"/>
  <c r="L387" i="3"/>
  <c r="H387" i="3"/>
  <c r="D387" i="3"/>
  <c r="E387" i="3" s="1"/>
  <c r="L386" i="3"/>
  <c r="H386" i="3"/>
  <c r="D386" i="3"/>
  <c r="E386" i="3" s="1"/>
  <c r="L385" i="3"/>
  <c r="H385" i="3"/>
  <c r="D385" i="3"/>
  <c r="E385" i="3" s="1"/>
  <c r="L384" i="3"/>
  <c r="H384" i="3"/>
  <c r="D384" i="3"/>
  <c r="E384" i="3" s="1"/>
  <c r="L383" i="3"/>
  <c r="H383" i="3"/>
  <c r="D383" i="3"/>
  <c r="E383" i="3" s="1"/>
  <c r="L382" i="3"/>
  <c r="H382" i="3"/>
  <c r="D382" i="3"/>
  <c r="E382" i="3" s="1"/>
  <c r="L381" i="3"/>
  <c r="H381" i="3"/>
  <c r="D381" i="3"/>
  <c r="E381" i="3" s="1"/>
  <c r="L380" i="3"/>
  <c r="H380" i="3"/>
  <c r="D380" i="3"/>
  <c r="E380" i="3" s="1"/>
  <c r="L379" i="3"/>
  <c r="H379" i="3"/>
  <c r="D379" i="3"/>
  <c r="E379" i="3" s="1"/>
  <c r="L378" i="3"/>
  <c r="H378" i="3"/>
  <c r="D378" i="3"/>
  <c r="E378" i="3" s="1"/>
  <c r="L377" i="3"/>
  <c r="H377" i="3"/>
  <c r="D377" i="3"/>
  <c r="E377" i="3" s="1"/>
  <c r="L376" i="3"/>
  <c r="H376" i="3"/>
  <c r="D376" i="3"/>
  <c r="E376" i="3" s="1"/>
  <c r="L375" i="3"/>
  <c r="H375" i="3"/>
  <c r="D375" i="3"/>
  <c r="E375" i="3" s="1"/>
  <c r="L374" i="3"/>
  <c r="H374" i="3"/>
  <c r="D374" i="3"/>
  <c r="E374" i="3" s="1"/>
  <c r="L373" i="3"/>
  <c r="H373" i="3"/>
  <c r="D373" i="3"/>
  <c r="E373" i="3" s="1"/>
  <c r="L372" i="3"/>
  <c r="H372" i="3"/>
  <c r="D372" i="3"/>
  <c r="E372" i="3" s="1"/>
  <c r="L371" i="3"/>
  <c r="H371" i="3"/>
  <c r="D371" i="3"/>
  <c r="E371" i="3" s="1"/>
  <c r="L370" i="3"/>
  <c r="H370" i="3"/>
  <c r="D370" i="3"/>
  <c r="E370" i="3" s="1"/>
  <c r="L369" i="3"/>
  <c r="H369" i="3"/>
  <c r="D369" i="3"/>
  <c r="E369" i="3" s="1"/>
  <c r="L368" i="3"/>
  <c r="H368" i="3"/>
  <c r="D368" i="3"/>
  <c r="E368" i="3" s="1"/>
  <c r="L367" i="3"/>
  <c r="H367" i="3"/>
  <c r="D367" i="3"/>
  <c r="E367" i="3" s="1"/>
  <c r="L366" i="3"/>
  <c r="H366" i="3"/>
  <c r="D366" i="3"/>
  <c r="E366" i="3" s="1"/>
  <c r="L365" i="3"/>
  <c r="H365" i="3"/>
  <c r="D365" i="3"/>
  <c r="E365" i="3" s="1"/>
  <c r="L364" i="3"/>
  <c r="H364" i="3"/>
  <c r="D364" i="3"/>
  <c r="E364" i="3" s="1"/>
  <c r="L363" i="3"/>
  <c r="H363" i="3"/>
  <c r="D363" i="3"/>
  <c r="E363" i="3" s="1"/>
  <c r="L362" i="3"/>
  <c r="H362" i="3"/>
  <c r="D362" i="3"/>
  <c r="E362" i="3" s="1"/>
  <c r="L361" i="3"/>
  <c r="H361" i="3"/>
  <c r="D361" i="3"/>
  <c r="E361" i="3" s="1"/>
  <c r="L360" i="3"/>
  <c r="H360" i="3"/>
  <c r="D360" i="3"/>
  <c r="E360" i="3" s="1"/>
  <c r="L359" i="3"/>
  <c r="H359" i="3"/>
  <c r="D359" i="3"/>
  <c r="E359" i="3" s="1"/>
  <c r="L358" i="3"/>
  <c r="H358" i="3"/>
  <c r="D358" i="3"/>
  <c r="E358" i="3" s="1"/>
  <c r="L357" i="3"/>
  <c r="H357" i="3"/>
  <c r="D357" i="3"/>
  <c r="E357" i="3" s="1"/>
  <c r="L356" i="3"/>
  <c r="H356" i="3"/>
  <c r="D356" i="3"/>
  <c r="E356" i="3" s="1"/>
  <c r="L355" i="3"/>
  <c r="H355" i="3"/>
  <c r="D355" i="3"/>
  <c r="E355" i="3" s="1"/>
  <c r="L354" i="3"/>
  <c r="H354" i="3"/>
  <c r="D354" i="3"/>
  <c r="E354" i="3" s="1"/>
  <c r="L353" i="3"/>
  <c r="H353" i="3"/>
  <c r="D353" i="3"/>
  <c r="E353" i="3" s="1"/>
  <c r="L352" i="3"/>
  <c r="H352" i="3"/>
  <c r="D352" i="3"/>
  <c r="E352" i="3" s="1"/>
  <c r="L351" i="3"/>
  <c r="H351" i="3"/>
  <c r="D351" i="3"/>
  <c r="E351" i="3" s="1"/>
  <c r="L350" i="3"/>
  <c r="H350" i="3"/>
  <c r="D350" i="3"/>
  <c r="E350" i="3" s="1"/>
  <c r="L349" i="3"/>
  <c r="H349" i="3"/>
  <c r="D349" i="3"/>
  <c r="E349" i="3" s="1"/>
  <c r="L348" i="3"/>
  <c r="H348" i="3"/>
  <c r="D348" i="3"/>
  <c r="E348" i="3" s="1"/>
  <c r="L347" i="3"/>
  <c r="H347" i="3"/>
  <c r="D347" i="3"/>
  <c r="E347" i="3" s="1"/>
  <c r="L346" i="3"/>
  <c r="H346" i="3"/>
  <c r="D346" i="3"/>
  <c r="E346" i="3" s="1"/>
  <c r="L345" i="3"/>
  <c r="H345" i="3"/>
  <c r="D345" i="3"/>
  <c r="E345" i="3" s="1"/>
  <c r="L344" i="3"/>
  <c r="H344" i="3"/>
  <c r="D344" i="3"/>
  <c r="E344" i="3" s="1"/>
  <c r="L343" i="3"/>
  <c r="H343" i="3"/>
  <c r="D343" i="3"/>
  <c r="E343" i="3" s="1"/>
  <c r="L342" i="3"/>
  <c r="H342" i="3"/>
  <c r="D342" i="3"/>
  <c r="E342" i="3" s="1"/>
  <c r="L341" i="3"/>
  <c r="H341" i="3"/>
  <c r="D341" i="3"/>
  <c r="E341" i="3" s="1"/>
  <c r="L340" i="3"/>
  <c r="H340" i="3"/>
  <c r="D340" i="3"/>
  <c r="E340" i="3" s="1"/>
  <c r="L339" i="3"/>
  <c r="H339" i="3"/>
  <c r="D339" i="3"/>
  <c r="E339" i="3" s="1"/>
  <c r="L338" i="3"/>
  <c r="H338" i="3"/>
  <c r="D338" i="3"/>
  <c r="E338" i="3" s="1"/>
  <c r="L337" i="3"/>
  <c r="H337" i="3"/>
  <c r="D337" i="3"/>
  <c r="E337" i="3" s="1"/>
  <c r="L336" i="3"/>
  <c r="H336" i="3"/>
  <c r="D336" i="3"/>
  <c r="E336" i="3" s="1"/>
  <c r="L335" i="3"/>
  <c r="H335" i="3"/>
  <c r="D335" i="3"/>
  <c r="E335" i="3" s="1"/>
  <c r="L334" i="3"/>
  <c r="H334" i="3"/>
  <c r="D334" i="3"/>
  <c r="E334" i="3" s="1"/>
  <c r="L333" i="3"/>
  <c r="H333" i="3"/>
  <c r="D333" i="3"/>
  <c r="E333" i="3" s="1"/>
  <c r="L332" i="3"/>
  <c r="H332" i="3"/>
  <c r="D332" i="3"/>
  <c r="E332" i="3" s="1"/>
  <c r="L331" i="3"/>
  <c r="H331" i="3"/>
  <c r="D331" i="3"/>
  <c r="E331" i="3" s="1"/>
  <c r="L330" i="3"/>
  <c r="H330" i="3"/>
  <c r="D330" i="3"/>
  <c r="E330" i="3" s="1"/>
  <c r="L329" i="3"/>
  <c r="H329" i="3"/>
  <c r="D329" i="3"/>
  <c r="E329" i="3" s="1"/>
  <c r="L328" i="3"/>
  <c r="H328" i="3"/>
  <c r="D328" i="3"/>
  <c r="E328" i="3" s="1"/>
  <c r="L327" i="3"/>
  <c r="H327" i="3"/>
  <c r="D327" i="3"/>
  <c r="E327" i="3" s="1"/>
  <c r="L326" i="3"/>
  <c r="H326" i="3"/>
  <c r="D326" i="3"/>
  <c r="E326" i="3" s="1"/>
  <c r="L325" i="3"/>
  <c r="H325" i="3"/>
  <c r="D325" i="3"/>
  <c r="E325" i="3" s="1"/>
  <c r="L324" i="3"/>
  <c r="H324" i="3"/>
  <c r="D324" i="3"/>
  <c r="E324" i="3" s="1"/>
  <c r="L323" i="3"/>
  <c r="H323" i="3"/>
  <c r="D323" i="3"/>
  <c r="E323" i="3" s="1"/>
  <c r="L322" i="3"/>
  <c r="H322" i="3"/>
  <c r="D322" i="3"/>
  <c r="E322" i="3" s="1"/>
  <c r="L321" i="3"/>
  <c r="H321" i="3"/>
  <c r="D321" i="3"/>
  <c r="E321" i="3" s="1"/>
  <c r="L320" i="3"/>
  <c r="H320" i="3"/>
  <c r="D320" i="3"/>
  <c r="E320" i="3" s="1"/>
  <c r="L319" i="3"/>
  <c r="H319" i="3"/>
  <c r="D319" i="3"/>
  <c r="E319" i="3" s="1"/>
  <c r="L318" i="3"/>
  <c r="H318" i="3"/>
  <c r="D318" i="3"/>
  <c r="E318" i="3" s="1"/>
  <c r="L317" i="3"/>
  <c r="H317" i="3"/>
  <c r="D317" i="3"/>
  <c r="E317" i="3" s="1"/>
  <c r="L316" i="3"/>
  <c r="H316" i="3"/>
  <c r="D316" i="3"/>
  <c r="E316" i="3" s="1"/>
  <c r="L315" i="3"/>
  <c r="H315" i="3"/>
  <c r="D315" i="3"/>
  <c r="E315" i="3" s="1"/>
  <c r="L314" i="3"/>
  <c r="H314" i="3"/>
  <c r="D314" i="3"/>
  <c r="E314" i="3" s="1"/>
  <c r="L313" i="3"/>
  <c r="H313" i="3"/>
  <c r="D313" i="3"/>
  <c r="E313" i="3" s="1"/>
  <c r="L312" i="3"/>
  <c r="H312" i="3"/>
  <c r="D312" i="3"/>
  <c r="E312" i="3" s="1"/>
  <c r="L311" i="3"/>
  <c r="H311" i="3"/>
  <c r="D311" i="3"/>
  <c r="E311" i="3" s="1"/>
  <c r="L310" i="3"/>
  <c r="H310" i="3"/>
  <c r="D310" i="3"/>
  <c r="E310" i="3" s="1"/>
  <c r="L309" i="3"/>
  <c r="H309" i="3"/>
  <c r="D309" i="3"/>
  <c r="E309" i="3" s="1"/>
  <c r="L308" i="3"/>
  <c r="H308" i="3"/>
  <c r="D308" i="3"/>
  <c r="E308" i="3" s="1"/>
  <c r="L307" i="3"/>
  <c r="H307" i="3"/>
  <c r="D307" i="3"/>
  <c r="E307" i="3" s="1"/>
  <c r="L306" i="3"/>
  <c r="H306" i="3"/>
  <c r="D306" i="3"/>
  <c r="E306" i="3" s="1"/>
  <c r="L305" i="3"/>
  <c r="H305" i="3"/>
  <c r="D305" i="3"/>
  <c r="E305" i="3" s="1"/>
  <c r="L304" i="3"/>
  <c r="H304" i="3"/>
  <c r="D304" i="3"/>
  <c r="E304" i="3" s="1"/>
  <c r="L303" i="3"/>
  <c r="H303" i="3"/>
  <c r="D303" i="3"/>
  <c r="E303" i="3" s="1"/>
  <c r="L302" i="3"/>
  <c r="H302" i="3"/>
  <c r="D302" i="3"/>
  <c r="E302" i="3" s="1"/>
  <c r="L301" i="3"/>
  <c r="H301" i="3"/>
  <c r="D301" i="3"/>
  <c r="E301" i="3" s="1"/>
  <c r="L300" i="3"/>
  <c r="H300" i="3"/>
  <c r="D300" i="3"/>
  <c r="E300" i="3" s="1"/>
  <c r="L299" i="3"/>
  <c r="H299" i="3"/>
  <c r="D299" i="3"/>
  <c r="E299" i="3" s="1"/>
  <c r="L298" i="3"/>
  <c r="H298" i="3"/>
  <c r="D298" i="3"/>
  <c r="E298" i="3" s="1"/>
  <c r="L297" i="3"/>
  <c r="H297" i="3"/>
  <c r="D297" i="3"/>
  <c r="E297" i="3" s="1"/>
  <c r="L296" i="3"/>
  <c r="H296" i="3"/>
  <c r="D296" i="3"/>
  <c r="E296" i="3" s="1"/>
  <c r="L295" i="3"/>
  <c r="H295" i="3"/>
  <c r="D295" i="3"/>
  <c r="E295" i="3" s="1"/>
  <c r="L294" i="3"/>
  <c r="H294" i="3"/>
  <c r="D294" i="3"/>
  <c r="E294" i="3" s="1"/>
  <c r="L293" i="3"/>
  <c r="H293" i="3"/>
  <c r="D293" i="3"/>
  <c r="E293" i="3" s="1"/>
  <c r="L292" i="3"/>
  <c r="H292" i="3"/>
  <c r="D292" i="3"/>
  <c r="E292" i="3" s="1"/>
  <c r="L291" i="3"/>
  <c r="H291" i="3"/>
  <c r="D291" i="3"/>
  <c r="E291" i="3" s="1"/>
  <c r="L290" i="3"/>
  <c r="H290" i="3"/>
  <c r="D290" i="3"/>
  <c r="E290" i="3" s="1"/>
  <c r="L289" i="3"/>
  <c r="H289" i="3"/>
  <c r="D289" i="3"/>
  <c r="E289" i="3" s="1"/>
  <c r="L288" i="3"/>
  <c r="H288" i="3"/>
  <c r="D288" i="3"/>
  <c r="E288" i="3" s="1"/>
  <c r="L287" i="3"/>
  <c r="H287" i="3"/>
  <c r="D287" i="3"/>
  <c r="E287" i="3" s="1"/>
  <c r="L286" i="3"/>
  <c r="H286" i="3"/>
  <c r="D286" i="3"/>
  <c r="E286" i="3" s="1"/>
  <c r="L285" i="3"/>
  <c r="H285" i="3"/>
  <c r="D285" i="3"/>
  <c r="E285" i="3" s="1"/>
  <c r="L284" i="3"/>
  <c r="H284" i="3"/>
  <c r="D284" i="3"/>
  <c r="E284" i="3" s="1"/>
  <c r="L283" i="3"/>
  <c r="H283" i="3"/>
  <c r="D283" i="3"/>
  <c r="E283" i="3" s="1"/>
  <c r="L282" i="3"/>
  <c r="H282" i="3"/>
  <c r="D282" i="3"/>
  <c r="E282" i="3" s="1"/>
  <c r="L281" i="3"/>
  <c r="H281" i="3"/>
  <c r="D281" i="3"/>
  <c r="E281" i="3" s="1"/>
  <c r="L280" i="3"/>
  <c r="H280" i="3"/>
  <c r="D280" i="3"/>
  <c r="E280" i="3" s="1"/>
  <c r="L279" i="3"/>
  <c r="H279" i="3"/>
  <c r="D279" i="3"/>
  <c r="E279" i="3" s="1"/>
  <c r="L278" i="3"/>
  <c r="H278" i="3"/>
  <c r="D278" i="3"/>
  <c r="E278" i="3" s="1"/>
  <c r="L277" i="3"/>
  <c r="H277" i="3"/>
  <c r="D277" i="3"/>
  <c r="E277" i="3" s="1"/>
  <c r="L276" i="3"/>
  <c r="H276" i="3"/>
  <c r="D276" i="3"/>
  <c r="E276" i="3" s="1"/>
  <c r="L275" i="3"/>
  <c r="H275" i="3"/>
  <c r="D275" i="3"/>
  <c r="E275" i="3" s="1"/>
  <c r="L274" i="3"/>
  <c r="H274" i="3"/>
  <c r="D274" i="3"/>
  <c r="E274" i="3" s="1"/>
  <c r="L273" i="3"/>
  <c r="H273" i="3"/>
  <c r="D273" i="3"/>
  <c r="E273" i="3" s="1"/>
  <c r="L272" i="3"/>
  <c r="H272" i="3"/>
  <c r="D272" i="3"/>
  <c r="E272" i="3" s="1"/>
  <c r="L271" i="3"/>
  <c r="H271" i="3"/>
  <c r="D271" i="3"/>
  <c r="E271" i="3" s="1"/>
  <c r="L270" i="3"/>
  <c r="H270" i="3"/>
  <c r="D270" i="3"/>
  <c r="E270" i="3" s="1"/>
  <c r="L269" i="3"/>
  <c r="H269" i="3"/>
  <c r="D269" i="3"/>
  <c r="E269" i="3" s="1"/>
  <c r="L268" i="3"/>
  <c r="H268" i="3"/>
  <c r="D268" i="3"/>
  <c r="E268" i="3" s="1"/>
  <c r="L267" i="3"/>
  <c r="H267" i="3"/>
  <c r="D267" i="3"/>
  <c r="E267" i="3" s="1"/>
  <c r="L266" i="3"/>
  <c r="H266" i="3"/>
  <c r="D266" i="3"/>
  <c r="E266" i="3" s="1"/>
  <c r="L265" i="3"/>
  <c r="H265" i="3"/>
  <c r="D265" i="3"/>
  <c r="E265" i="3" s="1"/>
  <c r="L264" i="3"/>
  <c r="H264" i="3"/>
  <c r="D264" i="3"/>
  <c r="E264" i="3" s="1"/>
  <c r="L263" i="3"/>
  <c r="H263" i="3"/>
  <c r="D263" i="3"/>
  <c r="E263" i="3" s="1"/>
  <c r="L262" i="3"/>
  <c r="H262" i="3"/>
  <c r="D262" i="3"/>
  <c r="E262" i="3" s="1"/>
  <c r="L261" i="3"/>
  <c r="H261" i="3"/>
  <c r="D261" i="3"/>
  <c r="E261" i="3" s="1"/>
  <c r="L260" i="3"/>
  <c r="H260" i="3"/>
  <c r="D260" i="3"/>
  <c r="E260" i="3" s="1"/>
  <c r="L259" i="3"/>
  <c r="H259" i="3"/>
  <c r="D259" i="3"/>
  <c r="E259" i="3" s="1"/>
  <c r="L258" i="3"/>
  <c r="H258" i="3"/>
  <c r="D258" i="3"/>
  <c r="E258" i="3" s="1"/>
  <c r="L257" i="3"/>
  <c r="H257" i="3"/>
  <c r="D257" i="3"/>
  <c r="E257" i="3" s="1"/>
  <c r="L256" i="3"/>
  <c r="H256" i="3"/>
  <c r="D256" i="3"/>
  <c r="E256" i="3" s="1"/>
  <c r="L255" i="3"/>
  <c r="H255" i="3"/>
  <c r="D255" i="3"/>
  <c r="E255" i="3" s="1"/>
  <c r="L254" i="3"/>
  <c r="H254" i="3"/>
  <c r="D254" i="3"/>
  <c r="E254" i="3" s="1"/>
  <c r="L253" i="3"/>
  <c r="H253" i="3"/>
  <c r="D253" i="3"/>
  <c r="E253" i="3" s="1"/>
  <c r="L252" i="3"/>
  <c r="H252" i="3"/>
  <c r="D252" i="3"/>
  <c r="E252" i="3" s="1"/>
  <c r="L251" i="3"/>
  <c r="H251" i="3"/>
  <c r="D251" i="3"/>
  <c r="E251" i="3" s="1"/>
  <c r="L250" i="3"/>
  <c r="H250" i="3"/>
  <c r="D250" i="3"/>
  <c r="E250" i="3" s="1"/>
  <c r="L249" i="3"/>
  <c r="H249" i="3"/>
  <c r="D249" i="3"/>
  <c r="E249" i="3" s="1"/>
  <c r="L248" i="3"/>
  <c r="H248" i="3"/>
  <c r="D248" i="3"/>
  <c r="E248" i="3" s="1"/>
  <c r="L247" i="3"/>
  <c r="H247" i="3"/>
  <c r="D247" i="3"/>
  <c r="E247" i="3" s="1"/>
  <c r="L246" i="3"/>
  <c r="H246" i="3"/>
  <c r="D246" i="3"/>
  <c r="E246" i="3" s="1"/>
  <c r="L245" i="3"/>
  <c r="H245" i="3"/>
  <c r="D245" i="3"/>
  <c r="E245" i="3" s="1"/>
  <c r="L244" i="3"/>
  <c r="H244" i="3"/>
  <c r="D244" i="3"/>
  <c r="E244" i="3" s="1"/>
  <c r="L243" i="3"/>
  <c r="H243" i="3"/>
  <c r="D243" i="3"/>
  <c r="E243" i="3" s="1"/>
  <c r="L242" i="3"/>
  <c r="H242" i="3"/>
  <c r="D242" i="3"/>
  <c r="E242" i="3" s="1"/>
  <c r="L241" i="3"/>
  <c r="H241" i="3"/>
  <c r="D241" i="3"/>
  <c r="E241" i="3" s="1"/>
  <c r="L240" i="3"/>
  <c r="H240" i="3"/>
  <c r="D240" i="3"/>
  <c r="E240" i="3" s="1"/>
  <c r="L239" i="3"/>
  <c r="H239" i="3"/>
  <c r="D239" i="3"/>
  <c r="E239" i="3" s="1"/>
  <c r="L238" i="3"/>
  <c r="H238" i="3"/>
  <c r="D238" i="3"/>
  <c r="E238" i="3" s="1"/>
  <c r="L237" i="3"/>
  <c r="H237" i="3"/>
  <c r="D237" i="3"/>
  <c r="E237" i="3" s="1"/>
  <c r="L236" i="3"/>
  <c r="H236" i="3"/>
  <c r="D236" i="3"/>
  <c r="E236" i="3" s="1"/>
  <c r="L235" i="3"/>
  <c r="H235" i="3"/>
  <c r="D235" i="3"/>
  <c r="E235" i="3" s="1"/>
  <c r="L234" i="3"/>
  <c r="H234" i="3"/>
  <c r="D234" i="3"/>
  <c r="E234" i="3" s="1"/>
  <c r="L233" i="3"/>
  <c r="H233" i="3"/>
  <c r="D233" i="3"/>
  <c r="E233" i="3" s="1"/>
  <c r="L232" i="3"/>
  <c r="H232" i="3"/>
  <c r="D232" i="3"/>
  <c r="E232" i="3" s="1"/>
  <c r="L231" i="3"/>
  <c r="H231" i="3"/>
  <c r="D231" i="3"/>
  <c r="E231" i="3" s="1"/>
  <c r="L230" i="3"/>
  <c r="H230" i="3"/>
  <c r="D230" i="3"/>
  <c r="E230" i="3" s="1"/>
  <c r="L229" i="3"/>
  <c r="H229" i="3"/>
  <c r="D229" i="3"/>
  <c r="E229" i="3" s="1"/>
  <c r="L228" i="3"/>
  <c r="H228" i="3"/>
  <c r="D228" i="3"/>
  <c r="E228" i="3" s="1"/>
  <c r="L227" i="3"/>
  <c r="H227" i="3"/>
  <c r="D227" i="3"/>
  <c r="E227" i="3" s="1"/>
  <c r="L226" i="3"/>
  <c r="H226" i="3"/>
  <c r="D226" i="3"/>
  <c r="E226" i="3" s="1"/>
  <c r="L225" i="3"/>
  <c r="H225" i="3"/>
  <c r="D225" i="3"/>
  <c r="E225" i="3" s="1"/>
  <c r="L224" i="3"/>
  <c r="H224" i="3"/>
  <c r="D224" i="3"/>
  <c r="E224" i="3" s="1"/>
  <c r="L223" i="3"/>
  <c r="H223" i="3"/>
  <c r="D223" i="3"/>
  <c r="E223" i="3" s="1"/>
  <c r="L222" i="3"/>
  <c r="H222" i="3"/>
  <c r="D222" i="3"/>
  <c r="E222" i="3" s="1"/>
  <c r="L221" i="3"/>
  <c r="H221" i="3"/>
  <c r="D221" i="3"/>
  <c r="E221" i="3" s="1"/>
  <c r="L220" i="3"/>
  <c r="H220" i="3"/>
  <c r="D220" i="3"/>
  <c r="E220" i="3" s="1"/>
  <c r="L219" i="3"/>
  <c r="H219" i="3"/>
  <c r="D219" i="3"/>
  <c r="E219" i="3" s="1"/>
  <c r="L218" i="3"/>
  <c r="H218" i="3"/>
  <c r="D218" i="3"/>
  <c r="E218" i="3" s="1"/>
  <c r="L217" i="3"/>
  <c r="H217" i="3"/>
  <c r="D217" i="3"/>
  <c r="E217" i="3" s="1"/>
  <c r="L216" i="3"/>
  <c r="H216" i="3"/>
  <c r="D216" i="3"/>
  <c r="E216" i="3" s="1"/>
  <c r="L215" i="3"/>
  <c r="H215" i="3"/>
  <c r="D215" i="3"/>
  <c r="E215" i="3" s="1"/>
  <c r="L214" i="3"/>
  <c r="H214" i="3"/>
  <c r="D214" i="3"/>
  <c r="E214" i="3" s="1"/>
  <c r="L213" i="3"/>
  <c r="H213" i="3"/>
  <c r="D213" i="3"/>
  <c r="E213" i="3" s="1"/>
  <c r="L212" i="3"/>
  <c r="H212" i="3"/>
  <c r="D212" i="3"/>
  <c r="E212" i="3" s="1"/>
  <c r="L211" i="3"/>
  <c r="H211" i="3"/>
  <c r="D211" i="3"/>
  <c r="E211" i="3" s="1"/>
  <c r="L210" i="3"/>
  <c r="H210" i="3"/>
  <c r="D210" i="3"/>
  <c r="E210" i="3" s="1"/>
  <c r="L209" i="3"/>
  <c r="H209" i="3"/>
  <c r="D209" i="3"/>
  <c r="E209" i="3" s="1"/>
  <c r="L208" i="3"/>
  <c r="H208" i="3"/>
  <c r="D208" i="3"/>
  <c r="E208" i="3" s="1"/>
  <c r="L207" i="3"/>
  <c r="H207" i="3"/>
  <c r="D207" i="3"/>
  <c r="E207" i="3" s="1"/>
  <c r="L206" i="3"/>
  <c r="H206" i="3"/>
  <c r="D206" i="3"/>
  <c r="E206" i="3" s="1"/>
  <c r="L205" i="3"/>
  <c r="H205" i="3"/>
  <c r="D205" i="3"/>
  <c r="E205" i="3" s="1"/>
  <c r="L204" i="3"/>
  <c r="H204" i="3"/>
  <c r="D204" i="3"/>
  <c r="E204" i="3" s="1"/>
  <c r="L203" i="3"/>
  <c r="H203" i="3"/>
  <c r="D203" i="3"/>
  <c r="E203" i="3" s="1"/>
  <c r="L202" i="3"/>
  <c r="H202" i="3"/>
  <c r="D202" i="3"/>
  <c r="E202" i="3" s="1"/>
  <c r="L201" i="3"/>
  <c r="H201" i="3"/>
  <c r="D201" i="3"/>
  <c r="E201" i="3" s="1"/>
  <c r="L200" i="3"/>
  <c r="H200" i="3"/>
  <c r="D200" i="3"/>
  <c r="E200" i="3" s="1"/>
  <c r="L199" i="3"/>
  <c r="H199" i="3"/>
  <c r="D199" i="3"/>
  <c r="E199" i="3" s="1"/>
  <c r="L198" i="3"/>
  <c r="H198" i="3"/>
  <c r="D198" i="3"/>
  <c r="E198" i="3" s="1"/>
  <c r="L197" i="3"/>
  <c r="H197" i="3"/>
  <c r="D197" i="3"/>
  <c r="E197" i="3" s="1"/>
  <c r="L196" i="3"/>
  <c r="H196" i="3"/>
  <c r="D196" i="3"/>
  <c r="E196" i="3" s="1"/>
  <c r="L195" i="3"/>
  <c r="H195" i="3"/>
  <c r="D195" i="3"/>
  <c r="E195" i="3" s="1"/>
  <c r="L194" i="3"/>
  <c r="H194" i="3"/>
  <c r="D194" i="3"/>
  <c r="E194" i="3" s="1"/>
  <c r="L193" i="3"/>
  <c r="H193" i="3"/>
  <c r="D193" i="3"/>
  <c r="E193" i="3" s="1"/>
  <c r="L192" i="3"/>
  <c r="H192" i="3"/>
  <c r="D192" i="3"/>
  <c r="E192" i="3" s="1"/>
  <c r="L191" i="3"/>
  <c r="H191" i="3"/>
  <c r="D191" i="3"/>
  <c r="E191" i="3" s="1"/>
  <c r="L190" i="3"/>
  <c r="H190" i="3"/>
  <c r="D190" i="3"/>
  <c r="E190" i="3" s="1"/>
  <c r="L189" i="3"/>
  <c r="H189" i="3"/>
  <c r="D189" i="3"/>
  <c r="E189" i="3" s="1"/>
  <c r="L188" i="3"/>
  <c r="H188" i="3"/>
  <c r="D188" i="3"/>
  <c r="E188" i="3" s="1"/>
  <c r="L187" i="3"/>
  <c r="H187" i="3"/>
  <c r="D187" i="3"/>
  <c r="E187" i="3" s="1"/>
  <c r="L186" i="3"/>
  <c r="H186" i="3"/>
  <c r="D186" i="3"/>
  <c r="E186" i="3" s="1"/>
  <c r="L185" i="3"/>
  <c r="H185" i="3"/>
  <c r="D185" i="3"/>
  <c r="E185" i="3" s="1"/>
  <c r="L184" i="3"/>
  <c r="H184" i="3"/>
  <c r="D184" i="3"/>
  <c r="E184" i="3" s="1"/>
  <c r="L183" i="3"/>
  <c r="H183" i="3"/>
  <c r="D183" i="3"/>
  <c r="E183" i="3" s="1"/>
  <c r="L182" i="3"/>
  <c r="H182" i="3"/>
  <c r="D182" i="3"/>
  <c r="E182" i="3" s="1"/>
  <c r="L181" i="3"/>
  <c r="H181" i="3"/>
  <c r="D181" i="3"/>
  <c r="E181" i="3" s="1"/>
  <c r="L180" i="3"/>
  <c r="H180" i="3"/>
  <c r="D180" i="3"/>
  <c r="E180" i="3" s="1"/>
  <c r="L179" i="3"/>
  <c r="H179" i="3"/>
  <c r="D179" i="3"/>
  <c r="E179" i="3" s="1"/>
  <c r="L178" i="3"/>
  <c r="H178" i="3"/>
  <c r="D178" i="3"/>
  <c r="E178" i="3" s="1"/>
  <c r="L177" i="3"/>
  <c r="H177" i="3"/>
  <c r="D177" i="3"/>
  <c r="E177" i="3" s="1"/>
  <c r="L176" i="3"/>
  <c r="H176" i="3"/>
  <c r="D176" i="3"/>
  <c r="E176" i="3" s="1"/>
  <c r="L175" i="3"/>
  <c r="H175" i="3"/>
  <c r="D175" i="3"/>
  <c r="E175" i="3" s="1"/>
  <c r="L174" i="3"/>
  <c r="H174" i="3"/>
  <c r="D174" i="3"/>
  <c r="E174" i="3" s="1"/>
  <c r="L173" i="3"/>
  <c r="H173" i="3"/>
  <c r="D173" i="3"/>
  <c r="E173" i="3" s="1"/>
  <c r="L172" i="3"/>
  <c r="H172" i="3"/>
  <c r="D172" i="3"/>
  <c r="E172" i="3" s="1"/>
  <c r="L171" i="3"/>
  <c r="H171" i="3"/>
  <c r="D171" i="3"/>
  <c r="E171" i="3" s="1"/>
  <c r="L170" i="3"/>
  <c r="H170" i="3"/>
  <c r="D170" i="3"/>
  <c r="E170" i="3" s="1"/>
  <c r="L169" i="3"/>
  <c r="H169" i="3"/>
  <c r="D169" i="3"/>
  <c r="E169" i="3" s="1"/>
  <c r="L168" i="3"/>
  <c r="H168" i="3"/>
  <c r="D168" i="3"/>
  <c r="E168" i="3" s="1"/>
  <c r="L167" i="3"/>
  <c r="H167" i="3"/>
  <c r="D167" i="3"/>
  <c r="E167" i="3" s="1"/>
  <c r="L166" i="3"/>
  <c r="H166" i="3"/>
  <c r="D166" i="3"/>
  <c r="E166" i="3" s="1"/>
  <c r="L165" i="3"/>
  <c r="H165" i="3"/>
  <c r="D165" i="3"/>
  <c r="E165" i="3" s="1"/>
  <c r="L164" i="3"/>
  <c r="H164" i="3"/>
  <c r="D164" i="3"/>
  <c r="E164" i="3" s="1"/>
  <c r="L163" i="3"/>
  <c r="H163" i="3"/>
  <c r="D163" i="3"/>
  <c r="E163" i="3" s="1"/>
  <c r="L162" i="3"/>
  <c r="H162" i="3"/>
  <c r="D162" i="3"/>
  <c r="E162" i="3" s="1"/>
  <c r="L161" i="3"/>
  <c r="H161" i="3"/>
  <c r="D161" i="3"/>
  <c r="E161" i="3" s="1"/>
  <c r="L160" i="3"/>
  <c r="H160" i="3"/>
  <c r="D160" i="3"/>
  <c r="E160" i="3" s="1"/>
  <c r="L159" i="3"/>
  <c r="H159" i="3"/>
  <c r="D159" i="3"/>
  <c r="E159" i="3" s="1"/>
  <c r="L158" i="3"/>
  <c r="H158" i="3"/>
  <c r="D158" i="3"/>
  <c r="E158" i="3" s="1"/>
  <c r="L157" i="3"/>
  <c r="H157" i="3"/>
  <c r="D157" i="3"/>
  <c r="E157" i="3" s="1"/>
  <c r="L156" i="3"/>
  <c r="H156" i="3"/>
  <c r="D156" i="3"/>
  <c r="E156" i="3" s="1"/>
  <c r="L155" i="3"/>
  <c r="H155" i="3"/>
  <c r="D155" i="3"/>
  <c r="E155" i="3" s="1"/>
  <c r="L154" i="3"/>
  <c r="H154" i="3"/>
  <c r="D154" i="3"/>
  <c r="E154" i="3" s="1"/>
  <c r="L153" i="3"/>
  <c r="H153" i="3"/>
  <c r="D153" i="3"/>
  <c r="E153" i="3" s="1"/>
  <c r="L152" i="3"/>
  <c r="H152" i="3"/>
  <c r="D152" i="3"/>
  <c r="E152" i="3" s="1"/>
  <c r="L151" i="3"/>
  <c r="H151" i="3"/>
  <c r="D151" i="3"/>
  <c r="E151" i="3" s="1"/>
  <c r="L150" i="3"/>
  <c r="H150" i="3"/>
  <c r="D150" i="3"/>
  <c r="E150" i="3" s="1"/>
  <c r="L149" i="3"/>
  <c r="H149" i="3"/>
  <c r="D149" i="3"/>
  <c r="E149" i="3" s="1"/>
  <c r="L148" i="3"/>
  <c r="H148" i="3"/>
  <c r="D148" i="3"/>
  <c r="E148" i="3" s="1"/>
  <c r="L147" i="3"/>
  <c r="H147" i="3"/>
  <c r="D147" i="3"/>
  <c r="E147" i="3" s="1"/>
  <c r="L146" i="3"/>
  <c r="H146" i="3"/>
  <c r="D146" i="3"/>
  <c r="E146" i="3" s="1"/>
  <c r="L145" i="3"/>
  <c r="H145" i="3"/>
  <c r="D145" i="3"/>
  <c r="E145" i="3" s="1"/>
  <c r="L144" i="3"/>
  <c r="H144" i="3"/>
  <c r="D144" i="3"/>
  <c r="E144" i="3" s="1"/>
  <c r="L143" i="3"/>
  <c r="H143" i="3"/>
  <c r="D143" i="3"/>
  <c r="E143" i="3" s="1"/>
  <c r="L142" i="3"/>
  <c r="H142" i="3"/>
  <c r="D142" i="3"/>
  <c r="E142" i="3" s="1"/>
  <c r="L141" i="3"/>
  <c r="H141" i="3"/>
  <c r="D141" i="3"/>
  <c r="E141" i="3" s="1"/>
  <c r="L140" i="3"/>
  <c r="H140" i="3"/>
  <c r="D140" i="3"/>
  <c r="E140" i="3" s="1"/>
  <c r="L139" i="3"/>
  <c r="H139" i="3"/>
  <c r="D139" i="3"/>
  <c r="E139" i="3" s="1"/>
  <c r="L138" i="3"/>
  <c r="H138" i="3"/>
  <c r="D138" i="3"/>
  <c r="E138" i="3" s="1"/>
  <c r="L137" i="3"/>
  <c r="H137" i="3"/>
  <c r="D137" i="3"/>
  <c r="E137" i="3" s="1"/>
  <c r="L136" i="3"/>
  <c r="H136" i="3"/>
  <c r="D136" i="3"/>
  <c r="E136" i="3" s="1"/>
  <c r="L135" i="3"/>
  <c r="H135" i="3"/>
  <c r="D135" i="3"/>
  <c r="E135" i="3" s="1"/>
  <c r="L134" i="3"/>
  <c r="H134" i="3"/>
  <c r="D134" i="3"/>
  <c r="E134" i="3" s="1"/>
  <c r="L133" i="3"/>
  <c r="H133" i="3"/>
  <c r="D133" i="3"/>
  <c r="E133" i="3" s="1"/>
  <c r="L132" i="3"/>
  <c r="H132" i="3"/>
  <c r="D132" i="3"/>
  <c r="E132" i="3" s="1"/>
  <c r="L131" i="3"/>
  <c r="H131" i="3"/>
  <c r="D131" i="3"/>
  <c r="E131" i="3" s="1"/>
  <c r="L130" i="3"/>
  <c r="H130" i="3"/>
  <c r="D130" i="3"/>
  <c r="E130" i="3" s="1"/>
  <c r="L129" i="3"/>
  <c r="H129" i="3"/>
  <c r="D129" i="3"/>
  <c r="E129" i="3" s="1"/>
  <c r="L128" i="3"/>
  <c r="H128" i="3"/>
  <c r="D128" i="3"/>
  <c r="E128" i="3" s="1"/>
  <c r="L127" i="3"/>
  <c r="H127" i="3"/>
  <c r="D127" i="3"/>
  <c r="E127" i="3" s="1"/>
  <c r="L126" i="3"/>
  <c r="H126" i="3"/>
  <c r="D126" i="3"/>
  <c r="E126" i="3" s="1"/>
  <c r="L125" i="3"/>
  <c r="H125" i="3"/>
  <c r="D125" i="3"/>
  <c r="E125" i="3" s="1"/>
  <c r="L124" i="3"/>
  <c r="H124" i="3"/>
  <c r="D124" i="3"/>
  <c r="E124" i="3" s="1"/>
  <c r="L123" i="3"/>
  <c r="H123" i="3"/>
  <c r="D123" i="3"/>
  <c r="E123" i="3" s="1"/>
  <c r="L122" i="3"/>
  <c r="H122" i="3"/>
  <c r="D122" i="3"/>
  <c r="E122" i="3" s="1"/>
  <c r="L121" i="3"/>
  <c r="H121" i="3"/>
  <c r="D121" i="3"/>
  <c r="E121" i="3" s="1"/>
  <c r="L120" i="3"/>
  <c r="H120" i="3"/>
  <c r="D120" i="3"/>
  <c r="E120" i="3" s="1"/>
  <c r="L119" i="3"/>
  <c r="H119" i="3"/>
  <c r="D119" i="3"/>
  <c r="E119" i="3" s="1"/>
  <c r="L118" i="3"/>
  <c r="H118" i="3"/>
  <c r="D118" i="3"/>
  <c r="E118" i="3" s="1"/>
  <c r="L117" i="3"/>
  <c r="H117" i="3"/>
  <c r="D117" i="3"/>
  <c r="E117" i="3" s="1"/>
  <c r="L116" i="3"/>
  <c r="H116" i="3"/>
  <c r="D116" i="3"/>
  <c r="E116" i="3" s="1"/>
  <c r="L115" i="3"/>
  <c r="H115" i="3"/>
  <c r="D115" i="3"/>
  <c r="E115" i="3" s="1"/>
  <c r="L114" i="3"/>
  <c r="H114" i="3"/>
  <c r="D114" i="3"/>
  <c r="E114" i="3" s="1"/>
  <c r="L113" i="3"/>
  <c r="H113" i="3"/>
  <c r="D113" i="3"/>
  <c r="E113" i="3" s="1"/>
  <c r="L112" i="3"/>
  <c r="H112" i="3"/>
  <c r="D112" i="3"/>
  <c r="E112" i="3" s="1"/>
  <c r="L111" i="3"/>
  <c r="H111" i="3"/>
  <c r="D111" i="3"/>
  <c r="E111" i="3" s="1"/>
  <c r="L110" i="3"/>
  <c r="H110" i="3"/>
  <c r="D110" i="3"/>
  <c r="E110" i="3" s="1"/>
  <c r="L109" i="3"/>
  <c r="H109" i="3"/>
  <c r="D109" i="3"/>
  <c r="E109" i="3" s="1"/>
  <c r="L108" i="3"/>
  <c r="H108" i="3"/>
  <c r="D108" i="3"/>
  <c r="E108" i="3" s="1"/>
  <c r="L107" i="3"/>
  <c r="H107" i="3"/>
  <c r="D107" i="3"/>
  <c r="E107" i="3" s="1"/>
  <c r="L106" i="3"/>
  <c r="H106" i="3"/>
  <c r="D106" i="3"/>
  <c r="E106" i="3" s="1"/>
  <c r="L105" i="3"/>
  <c r="H105" i="3"/>
  <c r="D105" i="3"/>
  <c r="E105" i="3" s="1"/>
  <c r="L104" i="3"/>
  <c r="H104" i="3"/>
  <c r="D104" i="3"/>
  <c r="E104" i="3" s="1"/>
  <c r="L103" i="3"/>
  <c r="H103" i="3"/>
  <c r="D103" i="3"/>
  <c r="E103" i="3" s="1"/>
  <c r="L102" i="3"/>
  <c r="H102" i="3"/>
  <c r="D102" i="3"/>
  <c r="E102" i="3" s="1"/>
  <c r="L101" i="3"/>
  <c r="H101" i="3"/>
  <c r="D101" i="3"/>
  <c r="E101" i="3" s="1"/>
  <c r="L100" i="3"/>
  <c r="H100" i="3"/>
  <c r="D100" i="3"/>
  <c r="E100" i="3" s="1"/>
  <c r="L99" i="3"/>
  <c r="H99" i="3"/>
  <c r="D99" i="3"/>
  <c r="E99" i="3" s="1"/>
  <c r="L98" i="3"/>
  <c r="H98" i="3"/>
  <c r="D98" i="3"/>
  <c r="E98" i="3" s="1"/>
  <c r="L97" i="3"/>
  <c r="H97" i="3"/>
  <c r="D97" i="3"/>
  <c r="E97" i="3" s="1"/>
  <c r="L96" i="3"/>
  <c r="H96" i="3"/>
  <c r="D96" i="3"/>
  <c r="E96" i="3" s="1"/>
  <c r="L95" i="3"/>
  <c r="H95" i="3"/>
  <c r="D95" i="3"/>
  <c r="E95" i="3" s="1"/>
  <c r="L94" i="3"/>
  <c r="H94" i="3"/>
  <c r="D94" i="3"/>
  <c r="E94" i="3" s="1"/>
  <c r="L93" i="3"/>
  <c r="H93" i="3"/>
  <c r="D93" i="3"/>
  <c r="E93" i="3" s="1"/>
  <c r="L92" i="3"/>
  <c r="H92" i="3"/>
  <c r="D92" i="3"/>
  <c r="E92" i="3" s="1"/>
  <c r="L91" i="3"/>
  <c r="H91" i="3"/>
  <c r="D91" i="3"/>
  <c r="E91" i="3" s="1"/>
  <c r="L90" i="3"/>
  <c r="H90" i="3"/>
  <c r="D90" i="3"/>
  <c r="E90" i="3" s="1"/>
  <c r="L89" i="3"/>
  <c r="H89" i="3"/>
  <c r="D89" i="3"/>
  <c r="E89" i="3" s="1"/>
  <c r="L88" i="3"/>
  <c r="H88" i="3"/>
  <c r="D88" i="3"/>
  <c r="E88" i="3" s="1"/>
  <c r="L87" i="3"/>
  <c r="H87" i="3"/>
  <c r="D87" i="3"/>
  <c r="E87" i="3" s="1"/>
  <c r="L86" i="3"/>
  <c r="H86" i="3"/>
  <c r="D86" i="3"/>
  <c r="E86" i="3" s="1"/>
  <c r="L85" i="3"/>
  <c r="H85" i="3"/>
  <c r="D85" i="3"/>
  <c r="E85" i="3" s="1"/>
  <c r="L84" i="3"/>
  <c r="H84" i="3"/>
  <c r="D84" i="3"/>
  <c r="E84" i="3" s="1"/>
  <c r="L83" i="3"/>
  <c r="H83" i="3"/>
  <c r="D83" i="3"/>
  <c r="E83" i="3" s="1"/>
  <c r="L82" i="3"/>
  <c r="H82" i="3"/>
  <c r="D82" i="3"/>
  <c r="E82" i="3" s="1"/>
  <c r="L81" i="3"/>
  <c r="H81" i="3"/>
  <c r="D81" i="3"/>
  <c r="E81" i="3" s="1"/>
  <c r="L80" i="3"/>
  <c r="H80" i="3"/>
  <c r="D80" i="3"/>
  <c r="E80" i="3" s="1"/>
  <c r="L79" i="3"/>
  <c r="H79" i="3"/>
  <c r="D79" i="3"/>
  <c r="E79" i="3" s="1"/>
  <c r="L78" i="3"/>
  <c r="H78" i="3"/>
  <c r="D78" i="3"/>
  <c r="E78" i="3" s="1"/>
  <c r="L77" i="3"/>
  <c r="H77" i="3"/>
  <c r="D77" i="3"/>
  <c r="E77" i="3" s="1"/>
  <c r="L76" i="3"/>
  <c r="H76" i="3"/>
  <c r="D76" i="3"/>
  <c r="E76" i="3" s="1"/>
  <c r="L75" i="3"/>
  <c r="H75" i="3"/>
  <c r="D75" i="3"/>
  <c r="E75" i="3" s="1"/>
  <c r="L74" i="3"/>
  <c r="H74" i="3"/>
  <c r="D74" i="3"/>
  <c r="E74" i="3" s="1"/>
  <c r="L73" i="3"/>
  <c r="H73" i="3"/>
  <c r="D73" i="3"/>
  <c r="E73" i="3" s="1"/>
  <c r="L72" i="3"/>
  <c r="H72" i="3"/>
  <c r="D72" i="3"/>
  <c r="E72" i="3" s="1"/>
  <c r="L71" i="3"/>
  <c r="H71" i="3"/>
  <c r="D71" i="3"/>
  <c r="E71" i="3" s="1"/>
  <c r="L70" i="3"/>
  <c r="H70" i="3"/>
  <c r="D70" i="3"/>
  <c r="E70" i="3" s="1"/>
  <c r="L69" i="3"/>
  <c r="H69" i="3"/>
  <c r="D69" i="3"/>
  <c r="E69" i="3" s="1"/>
  <c r="L68" i="3"/>
  <c r="H68" i="3"/>
  <c r="D68" i="3"/>
  <c r="E68" i="3" s="1"/>
  <c r="L67" i="3"/>
  <c r="H67" i="3"/>
  <c r="D67" i="3"/>
  <c r="E67" i="3" s="1"/>
  <c r="L66" i="3"/>
  <c r="H66" i="3"/>
  <c r="D66" i="3"/>
  <c r="E66" i="3" s="1"/>
  <c r="L65" i="3"/>
  <c r="H65" i="3"/>
  <c r="D65" i="3"/>
  <c r="E65" i="3" s="1"/>
  <c r="L64" i="3"/>
  <c r="H64" i="3"/>
  <c r="D64" i="3"/>
  <c r="E64" i="3" s="1"/>
  <c r="L63" i="3"/>
  <c r="H63" i="3"/>
  <c r="D63" i="3"/>
  <c r="E63" i="3" s="1"/>
  <c r="L62" i="3"/>
  <c r="H62" i="3"/>
  <c r="D62" i="3"/>
  <c r="E62" i="3" s="1"/>
  <c r="L61" i="3"/>
  <c r="H61" i="3"/>
  <c r="D61" i="3"/>
  <c r="E61" i="3" s="1"/>
  <c r="L60" i="3"/>
  <c r="H60" i="3"/>
  <c r="D60" i="3"/>
  <c r="E60" i="3" s="1"/>
  <c r="L59" i="3"/>
  <c r="H59" i="3"/>
  <c r="D59" i="3"/>
  <c r="E59" i="3" s="1"/>
  <c r="L58" i="3"/>
  <c r="H58" i="3"/>
  <c r="D58" i="3"/>
  <c r="E58" i="3" s="1"/>
  <c r="L57" i="3"/>
  <c r="H57" i="3"/>
  <c r="D57" i="3"/>
  <c r="E57" i="3" s="1"/>
  <c r="L56" i="3"/>
  <c r="H56" i="3"/>
  <c r="D56" i="3"/>
  <c r="E56" i="3" s="1"/>
  <c r="L55" i="3"/>
  <c r="H55" i="3"/>
  <c r="D55" i="3"/>
  <c r="E55" i="3" s="1"/>
  <c r="L54" i="3"/>
  <c r="H54" i="3"/>
  <c r="D54" i="3"/>
  <c r="E54" i="3" s="1"/>
  <c r="L53" i="3"/>
  <c r="H53" i="3"/>
  <c r="D53" i="3"/>
  <c r="E53" i="3" s="1"/>
  <c r="L52" i="3"/>
  <c r="H52" i="3"/>
  <c r="D52" i="3"/>
  <c r="E52" i="3" s="1"/>
  <c r="L51" i="3"/>
  <c r="H51" i="3"/>
  <c r="D51" i="3"/>
  <c r="E51" i="3" s="1"/>
  <c r="L50" i="3"/>
  <c r="H50" i="3"/>
  <c r="D50" i="3"/>
  <c r="E50" i="3" s="1"/>
  <c r="L49" i="3"/>
  <c r="H49" i="3"/>
  <c r="D49" i="3"/>
  <c r="E49" i="3" s="1"/>
  <c r="L48" i="3"/>
  <c r="H48" i="3"/>
  <c r="D48" i="3"/>
  <c r="E48" i="3" s="1"/>
  <c r="L47" i="3"/>
  <c r="H47" i="3"/>
  <c r="D47" i="3"/>
  <c r="E47" i="3" s="1"/>
  <c r="L46" i="3"/>
  <c r="H46" i="3"/>
  <c r="D46" i="3"/>
  <c r="E46" i="3" s="1"/>
  <c r="L45" i="3"/>
  <c r="H45" i="3"/>
  <c r="D45" i="3"/>
  <c r="E45" i="3" s="1"/>
  <c r="L44" i="3"/>
  <c r="H44" i="3"/>
  <c r="D44" i="3"/>
  <c r="E44" i="3" s="1"/>
  <c r="L43" i="3"/>
  <c r="H43" i="3"/>
  <c r="D43" i="3"/>
  <c r="E43" i="3" s="1"/>
  <c r="L42" i="3"/>
  <c r="H42" i="3"/>
  <c r="D42" i="3"/>
  <c r="E42" i="3" s="1"/>
  <c r="L41" i="3"/>
  <c r="H41" i="3"/>
  <c r="D41" i="3"/>
  <c r="E41" i="3" s="1"/>
  <c r="L40" i="3"/>
  <c r="H40" i="3"/>
  <c r="D40" i="3"/>
  <c r="E40" i="3" s="1"/>
  <c r="L39" i="3"/>
  <c r="H39" i="3"/>
  <c r="D39" i="3"/>
  <c r="E39" i="3" s="1"/>
  <c r="L38" i="3"/>
  <c r="H38" i="3"/>
  <c r="D38" i="3"/>
  <c r="E38" i="3" s="1"/>
  <c r="L37" i="3"/>
  <c r="H37" i="3"/>
  <c r="D37" i="3"/>
  <c r="E37" i="3" s="1"/>
  <c r="L36" i="3"/>
  <c r="H36" i="3"/>
  <c r="D36" i="3"/>
  <c r="E36" i="3" s="1"/>
  <c r="L35" i="3"/>
  <c r="H35" i="3"/>
  <c r="D35" i="3"/>
  <c r="E35" i="3" s="1"/>
  <c r="L34" i="3"/>
  <c r="H34" i="3"/>
  <c r="D34" i="3"/>
  <c r="E34" i="3" s="1"/>
  <c r="L33" i="3"/>
  <c r="H33" i="3"/>
  <c r="D33" i="3"/>
  <c r="E33" i="3" s="1"/>
  <c r="L32" i="3"/>
  <c r="H32" i="3"/>
  <c r="D32" i="3"/>
  <c r="E32" i="3" s="1"/>
  <c r="L31" i="3"/>
  <c r="H31" i="3"/>
  <c r="D31" i="3"/>
  <c r="E31" i="3" s="1"/>
  <c r="L30" i="3"/>
  <c r="H30" i="3"/>
  <c r="D30" i="3"/>
  <c r="E30" i="3" s="1"/>
  <c r="L29" i="3"/>
  <c r="H29" i="3"/>
  <c r="D29" i="3"/>
  <c r="E29" i="3" s="1"/>
  <c r="L28" i="3"/>
  <c r="H28" i="3"/>
  <c r="D28" i="3"/>
  <c r="E28" i="3" s="1"/>
  <c r="L27" i="3"/>
  <c r="H27" i="3"/>
  <c r="D27" i="3"/>
  <c r="E27" i="3" s="1"/>
  <c r="L26" i="3"/>
  <c r="H26" i="3"/>
  <c r="L25" i="3"/>
  <c r="H25" i="3"/>
  <c r="D25" i="3"/>
  <c r="E25" i="3" s="1"/>
  <c r="L24" i="3"/>
  <c r="H24" i="3"/>
  <c r="D24" i="3"/>
  <c r="E24" i="3" s="1"/>
  <c r="L23" i="3"/>
  <c r="H23" i="3"/>
  <c r="D23" i="3"/>
  <c r="E23" i="3" s="1"/>
  <c r="L22" i="3"/>
  <c r="H22" i="3"/>
  <c r="D22" i="3"/>
  <c r="E22" i="3" s="1"/>
  <c r="L21" i="3"/>
  <c r="H21" i="3"/>
  <c r="D21" i="3"/>
  <c r="E21" i="3" s="1"/>
  <c r="L20" i="3"/>
  <c r="H20" i="3"/>
  <c r="D20" i="3"/>
  <c r="E20" i="3" s="1"/>
  <c r="L19" i="3"/>
  <c r="H19" i="3"/>
  <c r="D19" i="3"/>
  <c r="E19" i="3" s="1"/>
  <c r="L18" i="3"/>
  <c r="H18" i="3"/>
  <c r="D18" i="3"/>
  <c r="E18" i="3" s="1"/>
  <c r="L17" i="3"/>
  <c r="H17" i="3"/>
  <c r="D17" i="3"/>
  <c r="E17" i="3" s="1"/>
  <c r="L16" i="3"/>
  <c r="H16" i="3"/>
  <c r="D16" i="3"/>
  <c r="E16" i="3" s="1"/>
  <c r="L15" i="3"/>
  <c r="H15" i="3"/>
  <c r="D15" i="3"/>
  <c r="E15" i="3" s="1"/>
  <c r="L14" i="3"/>
  <c r="H14" i="3"/>
  <c r="D14" i="3"/>
  <c r="E14" i="3" s="1"/>
  <c r="L13" i="3"/>
  <c r="H13" i="3"/>
  <c r="D13" i="3"/>
  <c r="E13" i="3" s="1"/>
  <c r="L12" i="3"/>
  <c r="H12" i="3"/>
  <c r="D12" i="3"/>
  <c r="E12" i="3" s="1"/>
  <c r="L11" i="3"/>
  <c r="H11" i="3"/>
  <c r="D11" i="3"/>
  <c r="E11" i="3" s="1"/>
  <c r="L10" i="3"/>
  <c r="H10" i="3"/>
  <c r="D10" i="3"/>
  <c r="E10" i="3" s="1"/>
  <c r="L9" i="3"/>
  <c r="H9" i="3"/>
  <c r="D9" i="3"/>
  <c r="E9" i="3" s="1"/>
  <c r="L8" i="3"/>
  <c r="H8" i="3"/>
  <c r="D8" i="3"/>
  <c r="E8" i="3" s="1"/>
  <c r="L7" i="3"/>
  <c r="H7" i="3"/>
  <c r="D7" i="3"/>
  <c r="E7" i="3" s="1"/>
  <c r="L6" i="3"/>
  <c r="H6" i="3"/>
  <c r="D6" i="3"/>
  <c r="E6" i="3" s="1"/>
  <c r="L5" i="3"/>
  <c r="H5" i="3"/>
  <c r="D5" i="3"/>
  <c r="E5" i="3" s="1"/>
  <c r="L4" i="3"/>
  <c r="H4" i="3"/>
  <c r="D4" i="3"/>
  <c r="E4" i="3" s="1"/>
  <c r="L3" i="3"/>
  <c r="H3" i="3"/>
  <c r="D3" i="3"/>
  <c r="E3" i="3" s="1"/>
  <c r="L2" i="3"/>
  <c r="H2" i="3"/>
  <c r="D2" i="3"/>
  <c r="E2" i="3" s="1"/>
  <c r="B3" i="1"/>
  <c r="J135" i="3"/>
  <c r="J176" i="3"/>
  <c r="J25" i="3"/>
  <c r="J291" i="3"/>
  <c r="J278" i="3"/>
  <c r="J292" i="3"/>
  <c r="J52" i="3"/>
  <c r="J255" i="3"/>
  <c r="J449" i="3"/>
  <c r="J94" i="3"/>
  <c r="J93" i="3"/>
  <c r="J310" i="3"/>
  <c r="J192" i="3"/>
  <c r="J414" i="3"/>
  <c r="J477" i="3"/>
  <c r="J375" i="3"/>
  <c r="J101" i="3"/>
  <c r="J71" i="3"/>
  <c r="J210" i="3"/>
  <c r="J200" i="3"/>
  <c r="J175" i="3"/>
  <c r="J168" i="3"/>
  <c r="J258" i="3"/>
  <c r="J429" i="3"/>
  <c r="J173" i="3"/>
  <c r="J131" i="3"/>
  <c r="J111" i="3"/>
  <c r="J208" i="3"/>
  <c r="J151" i="3"/>
  <c r="J463" i="3"/>
  <c r="J130" i="3"/>
  <c r="J198" i="3"/>
  <c r="J270" i="3"/>
  <c r="J321" i="3"/>
  <c r="J268" i="3"/>
  <c r="J364" i="3"/>
  <c r="J350" i="3"/>
  <c r="J212" i="3"/>
  <c r="J141" i="3"/>
  <c r="J21" i="3"/>
  <c r="J242" i="3"/>
  <c r="J148" i="3"/>
  <c r="J226" i="3"/>
  <c r="J154" i="3"/>
  <c r="J280" i="3"/>
  <c r="J241" i="3"/>
  <c r="J388" i="3"/>
  <c r="J63" i="3"/>
  <c r="J43" i="3"/>
  <c r="J459" i="3"/>
  <c r="J104" i="3"/>
  <c r="J430" i="3"/>
  <c r="J250" i="3"/>
  <c r="J442" i="3"/>
  <c r="J389" i="3"/>
  <c r="J193" i="3"/>
  <c r="J450" i="3"/>
  <c r="J236" i="3"/>
  <c r="J3" i="3"/>
  <c r="J467" i="3"/>
  <c r="J379" i="3"/>
  <c r="J172" i="3"/>
  <c r="J344" i="3"/>
  <c r="J327" i="3"/>
  <c r="J372" i="3"/>
  <c r="J118" i="3"/>
  <c r="J244" i="3"/>
  <c r="J149" i="3"/>
  <c r="J188" i="3"/>
  <c r="J82" i="3"/>
  <c r="J257" i="3"/>
  <c r="J262" i="3"/>
  <c r="J354" i="3"/>
  <c r="J476" i="3"/>
  <c r="J359" i="3"/>
  <c r="J51" i="3"/>
  <c r="J328" i="3"/>
  <c r="J413" i="3"/>
  <c r="J48" i="3"/>
  <c r="J136" i="3"/>
  <c r="J386" i="3"/>
  <c r="J213" i="3"/>
  <c r="J60" i="3"/>
  <c r="J64" i="3"/>
  <c r="J50" i="3"/>
  <c r="J142" i="3"/>
  <c r="J439" i="3"/>
  <c r="J68" i="3"/>
  <c r="J403" i="3"/>
  <c r="J391" i="3"/>
  <c r="J247" i="3"/>
  <c r="J84" i="3"/>
  <c r="J178" i="3"/>
  <c r="J215" i="3"/>
  <c r="J252" i="3"/>
  <c r="J164" i="3"/>
  <c r="J171" i="3"/>
  <c r="J296" i="3"/>
  <c r="J322" i="3"/>
  <c r="J33" i="3"/>
  <c r="J383" i="3"/>
  <c r="J109" i="3"/>
  <c r="J30" i="3"/>
  <c r="J432" i="3"/>
  <c r="J159" i="3"/>
  <c r="J466" i="3"/>
  <c r="J146" i="3"/>
  <c r="J19" i="3"/>
  <c r="J308" i="3"/>
  <c r="J281" i="3"/>
  <c r="J4" i="3"/>
  <c r="J70" i="3"/>
  <c r="J229" i="3"/>
  <c r="J165" i="3"/>
  <c r="J481" i="3"/>
  <c r="J237" i="3"/>
  <c r="J12" i="3"/>
  <c r="J422" i="3"/>
  <c r="J333" i="3"/>
  <c r="J282" i="3"/>
  <c r="J342" i="3"/>
  <c r="J180" i="3"/>
  <c r="J465" i="3"/>
  <c r="J409" i="3"/>
  <c r="J126" i="3"/>
  <c r="J179" i="3"/>
  <c r="J76" i="3"/>
  <c r="J460" i="3"/>
  <c r="J276" i="3"/>
  <c r="J341" i="3"/>
  <c r="J355" i="3"/>
  <c r="J452" i="3"/>
  <c r="J438" i="3"/>
  <c r="J181" i="3"/>
  <c r="J45" i="3"/>
  <c r="J309" i="3"/>
  <c r="J365" i="3"/>
  <c r="J455" i="3"/>
  <c r="J480" i="3"/>
  <c r="J223" i="3"/>
  <c r="J399" i="3"/>
  <c r="J46" i="3"/>
  <c r="J88" i="3"/>
  <c r="J385" i="3"/>
  <c r="J294" i="3"/>
  <c r="J260" i="3"/>
  <c r="J123" i="3"/>
  <c r="J445" i="3"/>
  <c r="J306" i="3"/>
  <c r="J256" i="3"/>
  <c r="J197" i="3"/>
  <c r="J158" i="3"/>
  <c r="J368" i="3"/>
  <c r="J155" i="3"/>
  <c r="J381" i="3"/>
  <c r="J404" i="3"/>
  <c r="J349" i="3"/>
  <c r="J472" i="3"/>
  <c r="J221" i="3"/>
  <c r="J453" i="3"/>
  <c r="J162" i="3"/>
  <c r="J408" i="3"/>
  <c r="J290" i="3"/>
  <c r="J435" i="3"/>
  <c r="J420" i="3"/>
  <c r="J167" i="3"/>
  <c r="J5" i="3"/>
  <c r="J114" i="3"/>
  <c r="J65" i="3"/>
  <c r="J211" i="3"/>
  <c r="J457" i="3"/>
  <c r="J234" i="3"/>
  <c r="J395" i="3"/>
  <c r="J316" i="3"/>
  <c r="J412" i="3"/>
  <c r="J387" i="3"/>
  <c r="J121" i="3"/>
  <c r="J286" i="3"/>
  <c r="J20" i="3"/>
  <c r="J284" i="3"/>
  <c r="J371" i="3"/>
  <c r="J203" i="3"/>
  <c r="J17" i="3"/>
  <c r="J125" i="3"/>
  <c r="J348" i="3"/>
  <c r="J80" i="3"/>
  <c r="J415" i="3"/>
  <c r="J77" i="3"/>
  <c r="J62" i="3"/>
  <c r="J266" i="3"/>
  <c r="J338" i="3"/>
  <c r="J377" i="3"/>
  <c r="J115" i="3"/>
  <c r="J144" i="3"/>
  <c r="J304" i="3"/>
  <c r="J72" i="3"/>
  <c r="J59" i="3"/>
  <c r="J302" i="3"/>
  <c r="J145" i="3"/>
  <c r="J97" i="3"/>
  <c r="J184" i="3"/>
  <c r="J214" i="3"/>
  <c r="J163" i="3"/>
  <c r="J419" i="3"/>
  <c r="J478" i="3"/>
  <c r="J265" i="3"/>
  <c r="J54" i="3"/>
  <c r="J196" i="3"/>
  <c r="J471" i="3"/>
  <c r="J92" i="3"/>
  <c r="J334" i="3"/>
  <c r="J376" i="3"/>
  <c r="J182" i="3"/>
  <c r="J99" i="3"/>
  <c r="J15" i="3"/>
  <c r="J410" i="3"/>
  <c r="J233" i="3"/>
  <c r="J129" i="3"/>
  <c r="J245" i="3"/>
  <c r="J232" i="3"/>
  <c r="J475" i="3"/>
  <c r="J374" i="3"/>
  <c r="J396" i="3"/>
  <c r="J361" i="3"/>
  <c r="J187" i="3"/>
  <c r="J124" i="3"/>
  <c r="J160" i="3"/>
  <c r="J47" i="3"/>
  <c r="J299" i="3"/>
  <c r="J194" i="3"/>
  <c r="J18" i="3"/>
  <c r="J254" i="3"/>
  <c r="J127" i="3"/>
  <c r="J152" i="3"/>
  <c r="J470" i="3"/>
  <c r="J34" i="3"/>
  <c r="J289" i="3"/>
  <c r="J264" i="3"/>
  <c r="J105" i="3"/>
  <c r="J424" i="3"/>
  <c r="J11" i="3"/>
  <c r="J406" i="3"/>
  <c r="J100" i="3"/>
  <c r="J169" i="3"/>
  <c r="J456" i="3"/>
  <c r="J53" i="3"/>
  <c r="J427" i="3"/>
  <c r="J433" i="3"/>
  <c r="J279" i="3"/>
  <c r="J317" i="3"/>
  <c r="J259" i="3"/>
  <c r="J37" i="3"/>
  <c r="J401" i="3"/>
  <c r="J380" i="3"/>
  <c r="J199" i="3"/>
  <c r="J14" i="3"/>
  <c r="J418" i="3"/>
  <c r="J189" i="3"/>
  <c r="J373" i="3"/>
  <c r="J320" i="3"/>
  <c r="J370" i="3"/>
  <c r="J201" i="3"/>
  <c r="J362" i="3"/>
  <c r="J332" i="3"/>
  <c r="J24" i="3"/>
  <c r="J314" i="3"/>
  <c r="J204" i="3"/>
  <c r="J89" i="3"/>
  <c r="J431" i="3"/>
  <c r="J8" i="3"/>
  <c r="J400" i="3"/>
  <c r="J217" i="3"/>
  <c r="J303" i="3"/>
  <c r="J390" i="3"/>
  <c r="J91" i="3"/>
  <c r="J183" i="3"/>
  <c r="J448" i="3"/>
  <c r="J261" i="3"/>
  <c r="J397" i="3"/>
  <c r="J216" i="3"/>
  <c r="J13" i="3"/>
  <c r="J367" i="3"/>
  <c r="J219" i="3"/>
  <c r="J73" i="3"/>
  <c r="J132" i="3"/>
  <c r="J10" i="3"/>
  <c r="J191" i="3"/>
  <c r="J102" i="3"/>
  <c r="J133" i="3"/>
  <c r="B14" i="1"/>
  <c r="B5" i="1"/>
  <c r="J326" i="3"/>
  <c r="J443" i="3"/>
  <c r="J161" i="3"/>
  <c r="J29" i="3"/>
  <c r="J454" i="3"/>
  <c r="J337" i="3"/>
  <c r="J473" i="3"/>
  <c r="J220" i="3"/>
  <c r="J150" i="3"/>
  <c r="J108" i="3"/>
  <c r="J67" i="3"/>
  <c r="J366" i="3"/>
  <c r="J394" i="3"/>
  <c r="J423" i="3"/>
  <c r="J274" i="3"/>
  <c r="J360" i="3"/>
  <c r="J297" i="3"/>
  <c r="J315" i="3"/>
  <c r="J23" i="3"/>
  <c r="J324" i="3"/>
  <c r="J49" i="3"/>
  <c r="J461" i="3"/>
  <c r="J185" i="3"/>
  <c r="J79" i="3"/>
  <c r="J331" i="3"/>
  <c r="J436" i="3"/>
  <c r="J36" i="3"/>
  <c r="J273" i="3"/>
  <c r="J138" i="3"/>
  <c r="J85" i="3"/>
  <c r="J40" i="3"/>
  <c r="J301" i="3"/>
  <c r="J170" i="3"/>
  <c r="J35" i="3"/>
  <c r="J426" i="3"/>
  <c r="J209" i="3"/>
  <c r="J120" i="3"/>
  <c r="J425" i="3"/>
  <c r="J75" i="3"/>
  <c r="J235" i="3"/>
  <c r="J269" i="3"/>
  <c r="J444" i="3"/>
  <c r="J382" i="3"/>
  <c r="J451" i="3"/>
  <c r="J103" i="3"/>
  <c r="J205" i="3"/>
  <c r="J434" i="3"/>
  <c r="J143" i="3"/>
  <c r="J55" i="3"/>
  <c r="J447" i="3"/>
  <c r="J330" i="3"/>
  <c r="J311" i="3"/>
  <c r="J339" i="3"/>
  <c r="J483" i="3"/>
  <c r="J26" i="3"/>
  <c r="J227" i="3"/>
  <c r="J249" i="3"/>
  <c r="J87" i="3"/>
  <c r="J225" i="3"/>
  <c r="J295" i="3"/>
  <c r="J110" i="3"/>
  <c r="J228" i="3"/>
  <c r="J464" i="3"/>
  <c r="J218" i="3"/>
  <c r="J384" i="3"/>
  <c r="J458" i="3"/>
  <c r="J285" i="3"/>
  <c r="J343" i="3"/>
  <c r="J116" i="3"/>
  <c r="J41" i="3"/>
  <c r="J417" i="3"/>
  <c r="J7" i="3"/>
  <c r="J346" i="3"/>
  <c r="J345" i="3"/>
  <c r="J293" i="3"/>
  <c r="J128" i="3"/>
  <c r="J122" i="3"/>
  <c r="J224" i="3"/>
  <c r="J222" i="3"/>
  <c r="J38" i="3"/>
  <c r="J300" i="3"/>
  <c r="J96" i="3"/>
  <c r="J416" i="3"/>
  <c r="J240" i="3"/>
  <c r="J9" i="3"/>
  <c r="J272" i="3"/>
  <c r="J28" i="3"/>
  <c r="J31" i="3"/>
  <c r="J313" i="3"/>
  <c r="J98" i="3"/>
  <c r="J248" i="3"/>
  <c r="J44" i="3"/>
  <c r="J231" i="3"/>
  <c r="J318" i="3"/>
  <c r="J107" i="3"/>
  <c r="J469" i="3"/>
  <c r="J95" i="3"/>
  <c r="J66" i="3"/>
  <c r="J287" i="3"/>
  <c r="J357" i="3"/>
  <c r="J352" i="3"/>
  <c r="J90" i="3"/>
  <c r="J238" i="3"/>
  <c r="J474" i="3"/>
  <c r="J446" i="3"/>
  <c r="J393" i="3"/>
  <c r="J312" i="3"/>
  <c r="J117" i="3"/>
  <c r="J81" i="3"/>
  <c r="J325" i="3"/>
  <c r="J112" i="3"/>
  <c r="J329" i="3"/>
  <c r="J42" i="3"/>
  <c r="J174" i="3"/>
  <c r="J353" i="3"/>
  <c r="J207" i="3"/>
  <c r="J441" i="3"/>
  <c r="J479" i="3"/>
  <c r="J157" i="3"/>
  <c r="J468" i="3"/>
  <c r="J271" i="3"/>
  <c r="J39" i="3"/>
  <c r="J398" i="3"/>
  <c r="J267" i="3"/>
  <c r="J283" i="3"/>
  <c r="J305" i="3"/>
  <c r="J275" i="3"/>
  <c r="J56" i="3"/>
  <c r="J147" i="3"/>
  <c r="J2" i="3"/>
  <c r="B13" i="1"/>
  <c r="J405" i="3"/>
  <c r="J119" i="3"/>
  <c r="J347" i="3"/>
  <c r="J57" i="3"/>
  <c r="J323" i="3"/>
  <c r="J137" i="3"/>
  <c r="J358" i="3"/>
  <c r="J356" i="3"/>
  <c r="J402" i="3"/>
  <c r="J16" i="3"/>
  <c r="J421" i="3"/>
  <c r="J277" i="3"/>
  <c r="J78" i="3"/>
  <c r="J74" i="3"/>
  <c r="J462" i="3"/>
  <c r="J134" i="3"/>
  <c r="J140" i="3"/>
  <c r="J27" i="3"/>
  <c r="J177" i="3"/>
  <c r="J113" i="3"/>
  <c r="J437" i="3"/>
  <c r="J378" i="3"/>
  <c r="J363" i="3"/>
  <c r="J392" i="3"/>
  <c r="J428" i="3"/>
  <c r="J32" i="3"/>
  <c r="J243" i="3"/>
  <c r="J139" i="3"/>
  <c r="J190" i="3"/>
  <c r="J307" i="3"/>
  <c r="J288" i="3"/>
  <c r="J407" i="3"/>
  <c r="J251" i="3"/>
  <c r="J319" i="3"/>
  <c r="J230" i="3"/>
  <c r="J298" i="3"/>
  <c r="J482" i="3"/>
  <c r="J206" i="3"/>
  <c r="J369" i="3"/>
  <c r="J86" i="3"/>
  <c r="J202" i="3"/>
  <c r="J336" i="3"/>
  <c r="J351" i="3"/>
  <c r="J156" i="3"/>
  <c r="J440" i="3"/>
  <c r="J335" i="3"/>
  <c r="J22" i="3"/>
  <c r="J58" i="3"/>
  <c r="J263" i="3"/>
  <c r="J6" i="3"/>
  <c r="J411" i="3"/>
  <c r="J186" i="3"/>
  <c r="J239" i="3"/>
  <c r="J61" i="3"/>
  <c r="J106" i="3"/>
  <c r="J69" i="3"/>
  <c r="J83" i="3"/>
  <c r="J253" i="3"/>
  <c r="J246" i="3"/>
  <c r="J340" i="3"/>
  <c r="J153" i="3"/>
  <c r="J195" i="3"/>
  <c r="J166" i="3"/>
</calcChain>
</file>

<file path=xl/sharedStrings.xml><?xml version="1.0" encoding="utf-8"?>
<sst xmlns="http://schemas.openxmlformats.org/spreadsheetml/2006/main" count="91" uniqueCount="91">
  <si>
    <t>CLP MICRO-BANK V4 DASHBOARD</t>
  </si>
  <si>
    <t>Investor Name</t>
  </si>
  <si>
    <t>Capital Contributed</t>
  </si>
  <si>
    <t>Borrower</t>
  </si>
  <si>
    <t>Loan Amount</t>
  </si>
  <si>
    <t>Interest (40%)</t>
  </si>
  <si>
    <t>Total Payable</t>
  </si>
  <si>
    <t>Issue Date</t>
  </si>
  <si>
    <t>Due Date</t>
  </si>
  <si>
    <t>Days Late</t>
  </si>
  <si>
    <t>Risk</t>
  </si>
  <si>
    <t>Status</t>
  </si>
  <si>
    <t>Investor</t>
  </si>
  <si>
    <t>Reminder Message</t>
  </si>
  <si>
    <t>KAMZIE</t>
  </si>
  <si>
    <t>10% MONTHLY ROI</t>
  </si>
  <si>
    <t>STF</t>
  </si>
  <si>
    <t>TEE</t>
  </si>
  <si>
    <t>ALVINOZ</t>
  </si>
  <si>
    <t>MARIMARI</t>
  </si>
  <si>
    <t>KARROZ</t>
  </si>
  <si>
    <t>KIZITOZ</t>
  </si>
  <si>
    <t>RHODAZ</t>
  </si>
  <si>
    <t>JOVIAZ</t>
  </si>
  <si>
    <t>ARIARI</t>
  </si>
  <si>
    <t>EXTRAKAZ</t>
  </si>
  <si>
    <t>MUZAHUZ</t>
  </si>
  <si>
    <t>Total Capital (ALL)</t>
  </si>
  <si>
    <t>Seated Capital (NOT MOVING)</t>
  </si>
  <si>
    <t>Active Capital (MOVING)</t>
  </si>
  <si>
    <t>Total loans issued</t>
  </si>
  <si>
    <t>Total investors</t>
  </si>
  <si>
    <t>Total investor capital</t>
  </si>
  <si>
    <t>Total investor Profit (10%)</t>
  </si>
  <si>
    <t>INVESTORS :</t>
  </si>
  <si>
    <t>CAPITAL :</t>
  </si>
  <si>
    <t>LOANS :</t>
  </si>
  <si>
    <t>Loans Active</t>
  </si>
  <si>
    <t>Loans repaid</t>
  </si>
  <si>
    <t>Defaulted loans</t>
  </si>
  <si>
    <t>PROFIT :</t>
  </si>
  <si>
    <t>Total interest expected (40%)</t>
  </si>
  <si>
    <t>CLP gross profit (30%)</t>
  </si>
  <si>
    <t>Reserve (20%0</t>
  </si>
  <si>
    <t>Net profit (10%)</t>
  </si>
  <si>
    <t>Reserve balance</t>
  </si>
  <si>
    <t>RISK &amp; LIQUIDITY :</t>
  </si>
  <si>
    <t>Pending investor withdraws</t>
  </si>
  <si>
    <t>GROWTH :</t>
  </si>
  <si>
    <t>Capital growth rate</t>
  </si>
  <si>
    <t>new investors this month</t>
  </si>
  <si>
    <t>capital added this month</t>
  </si>
  <si>
    <t>Investor profit (10%)</t>
  </si>
  <si>
    <t>Available cash</t>
  </si>
  <si>
    <t>ALLANZ</t>
  </si>
  <si>
    <t>ROBERTAZ</t>
  </si>
  <si>
    <t>OWENZ</t>
  </si>
  <si>
    <t>ANSELZ</t>
  </si>
  <si>
    <t>Phone number</t>
  </si>
  <si>
    <t>DANIOKIRIA</t>
  </si>
  <si>
    <t>SHARILLEZ</t>
  </si>
  <si>
    <t>LUDAZ</t>
  </si>
  <si>
    <t>COMRADE</t>
  </si>
  <si>
    <t>KAMUGISHA</t>
  </si>
  <si>
    <t>BILLGATES</t>
  </si>
  <si>
    <t>ANXIOUS</t>
  </si>
  <si>
    <t>MAPIMAPI</t>
  </si>
  <si>
    <t>JAMESPIPO</t>
  </si>
  <si>
    <t>JODPROZ</t>
  </si>
  <si>
    <t>PROZ</t>
  </si>
  <si>
    <t>SHAKIE</t>
  </si>
  <si>
    <t>NICO</t>
  </si>
  <si>
    <t>ABOLTONO</t>
  </si>
  <si>
    <t>ANTHONY</t>
  </si>
  <si>
    <t>GARANG</t>
  </si>
  <si>
    <t>Phone Number</t>
  </si>
  <si>
    <t>KABASAZ</t>
  </si>
  <si>
    <t>KASULEZ</t>
  </si>
  <si>
    <t>DILMAR</t>
  </si>
  <si>
    <t>MALCOM</t>
  </si>
  <si>
    <t>CASEY</t>
  </si>
  <si>
    <t>SUDAIS</t>
  </si>
  <si>
    <t>TOM</t>
  </si>
  <si>
    <t>LINDA NOREEN</t>
  </si>
  <si>
    <t>QUIKZIE</t>
  </si>
  <si>
    <t>LUCAS</t>
  </si>
  <si>
    <t>TURYATUNGA</t>
  </si>
  <si>
    <t>MAKUMBI</t>
  </si>
  <si>
    <t>WAKOLI JOSHUA</t>
  </si>
  <si>
    <t>HYPER</t>
  </si>
  <si>
    <t>LULE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</si>
</sst>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G17" sqref="G17"/>
    </sheetView>
  </sheetViews>
  <sheetFormatPr defaultRowHeight="14.5" x14ac:dyDescent="0.35"/>
  <cols>
    <col min="1" max="1" width="31.81640625" customWidth="1"/>
  </cols>
  <sheetData>
    <row r="1" spans="1:2" x14ac:dyDescent="0.35">
      <c r="A1" s="1" t="s">
        <v>0</v>
      </c>
    </row>
    <row r="2" spans="1:2" x14ac:dyDescent="0.35">
      <c r="A2" t="s">
        <v>35</v>
      </c>
    </row>
    <row r="3" spans="1:2" x14ac:dyDescent="0.35">
      <c r="A3" t="s">
        <v>27</v>
      </c>
      <c r="B3">
        <f>SUM(Investors!C2:C98)</f>
        <v>16515000</v>
      </c>
    </row>
    <row r="4" spans="1:2" x14ac:dyDescent="0.35">
      <c r="A4" t="s">
        <v>28</v>
      </c>
    </row>
    <row r="5" spans="1:2" x14ac:dyDescent="0.35">
      <c r="A5" t="s">
        <v>29</v>
      </c>
      <c r="B5" t="str">
        <f ca="1">SUMIF(Loans!J:J,"Active",Loans!C:C)</f>
        <v/>
      </c>
    </row>
    <row r="7" spans="1:2" x14ac:dyDescent="0.35">
      <c r="A7" t="s">
        <v>34</v>
      </c>
    </row>
    <row r="8" spans="1:2" x14ac:dyDescent="0.35">
      <c r="A8" t="s">
        <v>31</v>
      </c>
    </row>
    <row r="9" spans="1:2" x14ac:dyDescent="0.35">
      <c r="A9" t="s">
        <v>32</v>
      </c>
    </row>
    <row r="10" spans="1:2" x14ac:dyDescent="0.35">
      <c r="A10" t="s">
        <v>33</v>
      </c>
    </row>
    <row r="12" spans="1:2" x14ac:dyDescent="0.35">
      <c r="A12" t="s">
        <v>36</v>
      </c>
    </row>
    <row r="13" spans="1:2" x14ac:dyDescent="0.35">
      <c r="A13" t="s">
        <v>30</v>
      </c>
      <c r="B13" t="str">
        <f ca="1">COUNTIF(Loans!J:J,"Late")/COUNTA(Loans!A:A)</f>
        <v/>
      </c>
    </row>
    <row r="14" spans="1:2" x14ac:dyDescent="0.35">
      <c r="A14" t="s">
        <v>37</v>
      </c>
      <c r="B14" t="str">
        <f ca="1">B5/B3</f>
        <v/>
      </c>
    </row>
    <row r="15" spans="1:2" x14ac:dyDescent="0.35">
      <c r="A15" t="s">
        <v>38</v>
      </c>
    </row>
    <row r="16" spans="1:2" x14ac:dyDescent="0.35">
      <c r="A16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52</v>
      </c>
    </row>
    <row r="21" spans="1:1" x14ac:dyDescent="0.35">
      <c r="A21" t="s">
        <v>42</v>
      </c>
    </row>
    <row r="22" spans="1:1" x14ac:dyDescent="0.35">
      <c r="A22" t="s">
        <v>43</v>
      </c>
    </row>
    <row r="23" spans="1:1" x14ac:dyDescent="0.35">
      <c r="A23" t="s">
        <v>44</v>
      </c>
    </row>
    <row r="25" spans="1:1" x14ac:dyDescent="0.35">
      <c r="A25" t="s">
        <v>46</v>
      </c>
    </row>
    <row r="26" spans="1:1" x14ac:dyDescent="0.35">
      <c r="A26" t="s">
        <v>53</v>
      </c>
    </row>
    <row r="27" spans="1:1" x14ac:dyDescent="0.35">
      <c r="A27" t="s">
        <v>45</v>
      </c>
    </row>
    <row r="28" spans="1:1" x14ac:dyDescent="0.35">
      <c r="A28" t="s">
        <v>47</v>
      </c>
    </row>
    <row r="30" spans="1:1" x14ac:dyDescent="0.35">
      <c r="A30" t="s">
        <v>48</v>
      </c>
    </row>
    <row r="31" spans="1:1" x14ac:dyDescent="0.35">
      <c r="A31" t="s">
        <v>49</v>
      </c>
    </row>
    <row r="32" spans="1:1" x14ac:dyDescent="0.35">
      <c r="A32" t="s">
        <v>50</v>
      </c>
    </row>
    <row r="33" spans="1:1" x14ac:dyDescent="0.35">
      <c r="A3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18" sqref="D18"/>
    </sheetView>
  </sheetViews>
  <sheetFormatPr defaultRowHeight="14.5" x14ac:dyDescent="0.35"/>
  <cols>
    <col min="1" max="2" width="15" customWidth="1"/>
    <col min="3" max="3" width="18" customWidth="1"/>
    <col min="4" max="4" width="18.36328125" customWidth="1"/>
  </cols>
  <sheetData>
    <row r="1" spans="1:4" x14ac:dyDescent="0.35">
      <c r="A1" s="1" t="s">
        <v>1</v>
      </c>
      <c r="B1" s="1" t="s">
        <v>58</v>
      </c>
      <c r="C1" s="1" t="s">
        <v>2</v>
      </c>
      <c r="D1" s="3" t="s">
        <v>15</v>
      </c>
    </row>
    <row r="2" spans="1:4" x14ac:dyDescent="0.35">
      <c r="A2" t="s">
        <v>18</v>
      </c>
      <c r="C2" s="2">
        <v>4500000</v>
      </c>
      <c r="D2" s="2">
        <v>450000</v>
      </c>
    </row>
    <row r="3" spans="1:4" x14ac:dyDescent="0.35">
      <c r="A3" t="s">
        <v>19</v>
      </c>
      <c r="C3" s="2">
        <v>1750000</v>
      </c>
      <c r="D3" s="2">
        <v>175000</v>
      </c>
    </row>
    <row r="4" spans="1:4" x14ac:dyDescent="0.35">
      <c r="A4" t="s">
        <v>14</v>
      </c>
      <c r="C4" s="2">
        <v>1260000</v>
      </c>
      <c r="D4" s="2">
        <v>126000</v>
      </c>
    </row>
    <row r="5" spans="1:4" x14ac:dyDescent="0.35">
      <c r="A5" t="s">
        <v>20</v>
      </c>
      <c r="C5" s="2">
        <v>1100000</v>
      </c>
      <c r="D5" s="2">
        <v>110000</v>
      </c>
    </row>
    <row r="6" spans="1:4" x14ac:dyDescent="0.35">
      <c r="A6" t="s">
        <v>21</v>
      </c>
      <c r="C6" s="2">
        <v>1250000</v>
      </c>
      <c r="D6" s="2">
        <v>125000</v>
      </c>
    </row>
    <row r="7" spans="1:4" x14ac:dyDescent="0.35">
      <c r="A7" t="s">
        <v>22</v>
      </c>
      <c r="C7" s="2">
        <v>1500000</v>
      </c>
      <c r="D7" s="2">
        <v>150000</v>
      </c>
    </row>
    <row r="8" spans="1:4" x14ac:dyDescent="0.35">
      <c r="A8" t="s">
        <v>23</v>
      </c>
      <c r="C8" s="2">
        <v>500000</v>
      </c>
      <c r="D8" s="2">
        <v>50000</v>
      </c>
    </row>
    <row r="9" spans="1:4" x14ac:dyDescent="0.35">
      <c r="A9" t="s">
        <v>24</v>
      </c>
      <c r="C9" s="2">
        <v>150000</v>
      </c>
      <c r="D9" s="2">
        <v>15000</v>
      </c>
    </row>
    <row r="10" spans="1:4" x14ac:dyDescent="0.35">
      <c r="A10" t="s">
        <v>16</v>
      </c>
      <c r="C10" s="2">
        <v>700000</v>
      </c>
      <c r="D10" s="2">
        <v>70000</v>
      </c>
    </row>
    <row r="11" spans="1:4" x14ac:dyDescent="0.35">
      <c r="A11" t="s">
        <v>84</v>
      </c>
      <c r="C11" s="2">
        <v>500000</v>
      </c>
      <c r="D11" s="2">
        <v>50000</v>
      </c>
    </row>
    <row r="12" spans="1:4" x14ac:dyDescent="0.35">
      <c r="A12" t="s">
        <v>25</v>
      </c>
      <c r="C12" s="2">
        <v>405000</v>
      </c>
      <c r="D12" s="2">
        <v>40500</v>
      </c>
    </row>
    <row r="13" spans="1:4" x14ac:dyDescent="0.35">
      <c r="A13" t="s">
        <v>17</v>
      </c>
      <c r="C13" s="2">
        <v>1200000</v>
      </c>
      <c r="D13" s="2">
        <v>100000</v>
      </c>
    </row>
    <row r="14" spans="1:4" x14ac:dyDescent="0.35">
      <c r="A14" t="s">
        <v>26</v>
      </c>
      <c r="C14" s="2">
        <v>1700000</v>
      </c>
      <c r="D14" s="2">
        <v>170000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3"/>
  <sheetViews>
    <sheetView tabSelected="1" topLeftCell="A15" workbookViewId="0">
      <selection activeCell="A36" sqref="A36"/>
    </sheetView>
  </sheetViews>
  <sheetFormatPr defaultRowHeight="14.5" x14ac:dyDescent="0.35"/>
  <cols>
    <col min="1" max="1" width="22" customWidth="1"/>
    <col min="2" max="2" width="16.6328125" customWidth="1"/>
    <col min="3" max="3" width="13.90625" customWidth="1"/>
    <col min="4" max="4" width="15.54296875" customWidth="1"/>
    <col min="5" max="5" width="15" customWidth="1"/>
    <col min="6" max="6" width="16.7265625" customWidth="1"/>
    <col min="7" max="7" width="11.54296875" customWidth="1"/>
    <col min="8" max="8" width="17.1796875" customWidth="1"/>
    <col min="12" max="12" width="66" customWidth="1"/>
  </cols>
  <sheetData>
    <row r="1" spans="1:12" x14ac:dyDescent="0.35">
      <c r="A1" s="1" t="s">
        <v>3</v>
      </c>
      <c r="B1" s="1" t="s">
        <v>75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35">
      <c r="A2" t="s">
        <v>54</v>
      </c>
      <c r="C2" s="2">
        <v>25000</v>
      </c>
      <c r="D2">
        <f t="shared" ref="D2:D48" si="0">C2*0.4</f>
        <v>10000</v>
      </c>
      <c r="E2">
        <f t="shared" ref="E2:E48" si="1">C2+D2</f>
        <v>35000</v>
      </c>
      <c r="F2" s="4">
        <v>46094</v>
      </c>
      <c r="H2">
        <f t="shared" ref="H2:H48" ca="1" si="2">IF(TODAY()&gt;G2, TODAY()-G2, 0)</f>
        <v>46115</v>
      </c>
      <c r="J2" t="str">
        <f t="shared" ref="J2:J48" ca="1" si="3">IF(J2="Closed","Closed",IF(TODAY()&gt;G2,"Late",IF(TODAY()=G2,"Due Today","Active")))</f>
        <v/>
      </c>
      <c r="L2" t="str">
        <f t="shared" ref="L2:L48" si="4">"Hello "&amp;A2&amp;", your loan of UGX "&amp;C2&amp;" is due on "&amp;TEXT(G2,"dd-mmm-yyyy")&amp;". Please clear to avoid penalty."</f>
        <v>Hello ALLANZ, your loan of UGX 25000 is due on 00-Jan-1900. Please clear to avoid penalty.</v>
      </c>
    </row>
    <row r="3" spans="1:12" x14ac:dyDescent="0.35">
      <c r="A3" t="s">
        <v>55</v>
      </c>
      <c r="C3" s="2">
        <v>80000</v>
      </c>
      <c r="D3">
        <f t="shared" si="0"/>
        <v>32000</v>
      </c>
      <c r="E3">
        <f t="shared" si="1"/>
        <v>112000</v>
      </c>
      <c r="F3" s="4">
        <v>46093</v>
      </c>
      <c r="H3">
        <f t="shared" ca="1" si="2"/>
        <v>46115</v>
      </c>
      <c r="J3" t="str">
        <f t="shared" ca="1" si="3"/>
        <v/>
      </c>
      <c r="L3" t="str">
        <f t="shared" si="4"/>
        <v>Hello ROBERTAZ, your loan of UGX 80000 is due on 00-Jan-1900. Please clear to avoid penalty.</v>
      </c>
    </row>
    <row r="4" spans="1:12" x14ac:dyDescent="0.35">
      <c r="A4" t="s">
        <v>57</v>
      </c>
      <c r="C4" s="2">
        <v>300000</v>
      </c>
      <c r="D4">
        <f t="shared" si="0"/>
        <v>120000</v>
      </c>
      <c r="E4">
        <f t="shared" si="1"/>
        <v>420000</v>
      </c>
      <c r="F4" s="4">
        <v>46093</v>
      </c>
      <c r="H4">
        <f t="shared" ca="1" si="2"/>
        <v>46115</v>
      </c>
      <c r="J4" t="str">
        <f t="shared" ca="1" si="3"/>
        <v/>
      </c>
      <c r="L4" t="str">
        <f t="shared" si="4"/>
        <v>Hello ANSELZ, your loan of UGX 300000 is due on 00-Jan-1900. Please clear to avoid penalty.</v>
      </c>
    </row>
    <row r="5" spans="1:12" x14ac:dyDescent="0.35">
      <c r="A5" t="s">
        <v>59</v>
      </c>
      <c r="C5" s="2">
        <v>120000</v>
      </c>
      <c r="D5">
        <f t="shared" si="0"/>
        <v>48000</v>
      </c>
      <c r="E5">
        <f t="shared" si="1"/>
        <v>168000</v>
      </c>
      <c r="F5" s="4">
        <v>46057</v>
      </c>
      <c r="H5">
        <f t="shared" ca="1" si="2"/>
        <v>46115</v>
      </c>
      <c r="J5" t="str">
        <f t="shared" ca="1" si="3"/>
        <v/>
      </c>
      <c r="L5" t="str">
        <f t="shared" si="4"/>
        <v>Hello DANIOKIRIA, your loan of UGX 120000 is due on 00-Jan-1900. Please clear to avoid penalty.</v>
      </c>
    </row>
    <row r="6" spans="1:12" x14ac:dyDescent="0.35">
      <c r="A6" t="s">
        <v>60</v>
      </c>
      <c r="C6" s="2">
        <v>100000</v>
      </c>
      <c r="D6">
        <f t="shared" si="0"/>
        <v>40000</v>
      </c>
      <c r="E6">
        <f t="shared" si="1"/>
        <v>140000</v>
      </c>
      <c r="F6" s="4">
        <v>46089</v>
      </c>
      <c r="H6">
        <f t="shared" ca="1" si="2"/>
        <v>46115</v>
      </c>
      <c r="J6" t="str">
        <f t="shared" ca="1" si="3"/>
        <v/>
      </c>
      <c r="L6" t="str">
        <f t="shared" si="4"/>
        <v>Hello SHARILLEZ, your loan of UGX 100000 is due on 00-Jan-1900. Please clear to avoid penalty.</v>
      </c>
    </row>
    <row r="7" spans="1:12" x14ac:dyDescent="0.35">
      <c r="A7" t="s">
        <v>61</v>
      </c>
      <c r="C7" s="2">
        <v>150000</v>
      </c>
      <c r="D7">
        <f t="shared" si="0"/>
        <v>60000</v>
      </c>
      <c r="E7">
        <f t="shared" si="1"/>
        <v>210000</v>
      </c>
      <c r="F7" s="4">
        <v>45992</v>
      </c>
      <c r="H7">
        <f t="shared" ca="1" si="2"/>
        <v>46115</v>
      </c>
      <c r="J7" t="str">
        <f t="shared" ca="1" si="3"/>
        <v/>
      </c>
      <c r="L7" t="str">
        <f t="shared" si="4"/>
        <v>Hello LUDAZ, your loan of UGX 150000 is due on 00-Jan-1900. Please clear to avoid penalty.</v>
      </c>
    </row>
    <row r="8" spans="1:12" x14ac:dyDescent="0.35">
      <c r="A8" t="s">
        <v>62</v>
      </c>
      <c r="C8" s="2">
        <v>200000</v>
      </c>
      <c r="D8">
        <f t="shared" si="0"/>
        <v>80000</v>
      </c>
      <c r="E8">
        <f t="shared" si="1"/>
        <v>280000</v>
      </c>
      <c r="F8" s="4">
        <v>46058</v>
      </c>
      <c r="H8">
        <f t="shared" ca="1" si="2"/>
        <v>46115</v>
      </c>
      <c r="J8" t="str">
        <f t="shared" ca="1" si="3"/>
        <v/>
      </c>
      <c r="L8" t="str">
        <f t="shared" si="4"/>
        <v>Hello COMRADE, your loan of UGX 200000 is due on 00-Jan-1900. Please clear to avoid penalty.</v>
      </c>
    </row>
    <row r="9" spans="1:12" x14ac:dyDescent="0.35">
      <c r="A9" t="s">
        <v>63</v>
      </c>
      <c r="C9" s="2">
        <v>60000</v>
      </c>
      <c r="D9">
        <f t="shared" si="0"/>
        <v>24000</v>
      </c>
      <c r="E9">
        <f t="shared" si="1"/>
        <v>84000</v>
      </c>
      <c r="F9" s="4">
        <v>46094</v>
      </c>
      <c r="H9">
        <f t="shared" ca="1" si="2"/>
        <v>46115</v>
      </c>
      <c r="J9" t="str">
        <f t="shared" ca="1" si="3"/>
        <v/>
      </c>
      <c r="L9" t="str">
        <f t="shared" si="4"/>
        <v>Hello KAMUGISHA, your loan of UGX 60000 is due on 00-Jan-1900. Please clear to avoid penalty.</v>
      </c>
    </row>
    <row r="10" spans="1:12" x14ac:dyDescent="0.35">
      <c r="A10" t="s">
        <v>64</v>
      </c>
      <c r="C10" s="2">
        <v>50000</v>
      </c>
      <c r="D10">
        <f t="shared" si="0"/>
        <v>20000</v>
      </c>
      <c r="E10">
        <f t="shared" si="1"/>
        <v>70000</v>
      </c>
      <c r="F10" s="4">
        <v>46086</v>
      </c>
      <c r="H10">
        <f t="shared" ca="1" si="2"/>
        <v>46115</v>
      </c>
      <c r="J10" t="str">
        <f t="shared" ca="1" si="3"/>
        <v/>
      </c>
      <c r="L10" t="str">
        <f t="shared" si="4"/>
        <v>Hello BILLGATES, your loan of UGX 50000 is due on 00-Jan-1900. Please clear to avoid penalty.</v>
      </c>
    </row>
    <row r="11" spans="1:12" x14ac:dyDescent="0.35">
      <c r="A11" t="s">
        <v>65</v>
      </c>
      <c r="C11" s="2">
        <v>32500</v>
      </c>
      <c r="D11">
        <f t="shared" si="0"/>
        <v>13000</v>
      </c>
      <c r="E11">
        <f t="shared" si="1"/>
        <v>45500</v>
      </c>
      <c r="F11" s="4">
        <v>46093</v>
      </c>
      <c r="H11">
        <f t="shared" ca="1" si="2"/>
        <v>46115</v>
      </c>
      <c r="J11" t="str">
        <f t="shared" ca="1" si="3"/>
        <v/>
      </c>
      <c r="L11" t="str">
        <f t="shared" si="4"/>
        <v>Hello ANXIOUS, your loan of UGX 32500 is due on 00-Jan-1900. Please clear to avoid penalty.</v>
      </c>
    </row>
    <row r="12" spans="1:12" x14ac:dyDescent="0.35">
      <c r="A12" t="s">
        <v>67</v>
      </c>
      <c r="C12" s="2">
        <v>1000000</v>
      </c>
      <c r="D12">
        <f t="shared" si="0"/>
        <v>400000</v>
      </c>
      <c r="E12">
        <f t="shared" si="1"/>
        <v>1400000</v>
      </c>
      <c r="F12" s="4">
        <v>45992</v>
      </c>
      <c r="H12">
        <f t="shared" ca="1" si="2"/>
        <v>46115</v>
      </c>
      <c r="J12" t="str">
        <f t="shared" ca="1" si="3"/>
        <v/>
      </c>
      <c r="L12" t="str">
        <f t="shared" si="4"/>
        <v>Hello JAMESPIPO, your loan of UGX 1000000 is due on 00-Jan-1900. Please clear to avoid penalty.</v>
      </c>
    </row>
    <row r="13" spans="1:12" x14ac:dyDescent="0.35">
      <c r="A13" t="s">
        <v>68</v>
      </c>
      <c r="C13" s="2">
        <v>60000</v>
      </c>
      <c r="D13">
        <f t="shared" si="0"/>
        <v>24000</v>
      </c>
      <c r="E13">
        <f t="shared" si="1"/>
        <v>84000</v>
      </c>
      <c r="F13" s="4">
        <v>45992</v>
      </c>
      <c r="H13">
        <f t="shared" ca="1" si="2"/>
        <v>46115</v>
      </c>
      <c r="J13" t="str">
        <f t="shared" ca="1" si="3"/>
        <v/>
      </c>
      <c r="L13" t="str">
        <f t="shared" si="4"/>
        <v>Hello JODPROZ, your loan of UGX 60000 is due on 00-Jan-1900. Please clear to avoid penalty.</v>
      </c>
    </row>
    <row r="14" spans="1:12" x14ac:dyDescent="0.35">
      <c r="A14" t="s">
        <v>69</v>
      </c>
      <c r="C14" s="2">
        <v>400000</v>
      </c>
      <c r="D14">
        <f t="shared" si="0"/>
        <v>160000</v>
      </c>
      <c r="E14">
        <f t="shared" si="1"/>
        <v>560000</v>
      </c>
      <c r="F14" s="4">
        <v>45992</v>
      </c>
      <c r="H14">
        <f t="shared" ca="1" si="2"/>
        <v>46115</v>
      </c>
      <c r="J14" t="str">
        <f t="shared" ca="1" si="3"/>
        <v/>
      </c>
      <c r="L14" t="str">
        <f t="shared" si="4"/>
        <v>Hello PROZ, your loan of UGX 400000 is due on 00-Jan-1900. Please clear to avoid penalty.</v>
      </c>
    </row>
    <row r="15" spans="1:12" x14ac:dyDescent="0.35">
      <c r="A15" t="s">
        <v>70</v>
      </c>
      <c r="C15" s="2">
        <v>100000</v>
      </c>
      <c r="D15">
        <f t="shared" si="0"/>
        <v>40000</v>
      </c>
      <c r="E15">
        <f t="shared" si="1"/>
        <v>140000</v>
      </c>
      <c r="F15" s="4">
        <v>46043</v>
      </c>
      <c r="H15">
        <f t="shared" ca="1" si="2"/>
        <v>46115</v>
      </c>
      <c r="J15" t="str">
        <f t="shared" ca="1" si="3"/>
        <v/>
      </c>
      <c r="L15" t="str">
        <f t="shared" si="4"/>
        <v>Hello SHAKIE, your loan of UGX 100000 is due on 00-Jan-1900. Please clear to avoid penalty.</v>
      </c>
    </row>
    <row r="16" spans="1:12" x14ac:dyDescent="0.35">
      <c r="A16" t="s">
        <v>71</v>
      </c>
      <c r="C16" s="2">
        <v>200000</v>
      </c>
      <c r="D16">
        <f t="shared" si="0"/>
        <v>80000</v>
      </c>
      <c r="E16">
        <f t="shared" si="1"/>
        <v>280000</v>
      </c>
      <c r="F16" s="4">
        <v>45992</v>
      </c>
      <c r="H16">
        <f t="shared" ca="1" si="2"/>
        <v>46115</v>
      </c>
      <c r="J16" t="str">
        <f t="shared" ca="1" si="3"/>
        <v/>
      </c>
      <c r="L16" t="str">
        <f t="shared" si="4"/>
        <v>Hello NICO, your loan of UGX 200000 is due on 00-Jan-1900. Please clear to avoid penalty.</v>
      </c>
    </row>
    <row r="17" spans="1:12" x14ac:dyDescent="0.35">
      <c r="A17" t="s">
        <v>72</v>
      </c>
      <c r="C17" s="2">
        <v>120000</v>
      </c>
      <c r="D17">
        <f t="shared" si="0"/>
        <v>48000</v>
      </c>
      <c r="E17">
        <f t="shared" si="1"/>
        <v>168000</v>
      </c>
      <c r="F17" s="4">
        <v>45992</v>
      </c>
      <c r="H17">
        <f t="shared" ca="1" si="2"/>
        <v>46115</v>
      </c>
      <c r="J17" t="str">
        <f t="shared" ca="1" si="3"/>
        <v/>
      </c>
      <c r="L17" t="str">
        <f t="shared" si="4"/>
        <v>Hello ABOLTONO, your loan of UGX 120000 is due on 00-Jan-1900. Please clear to avoid penalty.</v>
      </c>
    </row>
    <row r="18" spans="1:12" x14ac:dyDescent="0.35">
      <c r="A18" t="s">
        <v>73</v>
      </c>
      <c r="C18" s="2">
        <v>300000</v>
      </c>
      <c r="D18">
        <f t="shared" si="0"/>
        <v>120000</v>
      </c>
      <c r="E18">
        <f t="shared" si="1"/>
        <v>420000</v>
      </c>
      <c r="F18" s="4">
        <v>45992</v>
      </c>
      <c r="H18">
        <f t="shared" ca="1" si="2"/>
        <v>46115</v>
      </c>
      <c r="J18" t="str">
        <f t="shared" ca="1" si="3"/>
        <v/>
      </c>
      <c r="L18" t="str">
        <f t="shared" si="4"/>
        <v>Hello ANTHONY, your loan of UGX 300000 is due on 00-Jan-1900. Please clear to avoid penalty.</v>
      </c>
    </row>
    <row r="19" spans="1:12" x14ac:dyDescent="0.35">
      <c r="A19" t="s">
        <v>74</v>
      </c>
      <c r="C19" s="2">
        <v>200000</v>
      </c>
      <c r="D19">
        <f t="shared" si="0"/>
        <v>80000</v>
      </c>
      <c r="E19">
        <f t="shared" si="1"/>
        <v>280000</v>
      </c>
      <c r="F19" s="4">
        <v>45992</v>
      </c>
      <c r="H19">
        <f t="shared" ca="1" si="2"/>
        <v>46115</v>
      </c>
      <c r="J19" t="str">
        <f t="shared" ca="1" si="3"/>
        <v/>
      </c>
      <c r="L19" t="str">
        <f t="shared" si="4"/>
        <v>Hello GARANG, your loan of UGX 200000 is due on 00-Jan-1900. Please clear to avoid penalty.</v>
      </c>
    </row>
    <row r="20" spans="1:12" x14ac:dyDescent="0.35">
      <c r="A20" t="s">
        <v>76</v>
      </c>
      <c r="C20" s="2">
        <v>600000</v>
      </c>
      <c r="D20">
        <f t="shared" si="0"/>
        <v>240000</v>
      </c>
      <c r="E20">
        <f t="shared" si="1"/>
        <v>840000</v>
      </c>
      <c r="F20" s="4">
        <v>45992</v>
      </c>
      <c r="H20">
        <f t="shared" ca="1" si="2"/>
        <v>46115</v>
      </c>
      <c r="J20" t="str">
        <f t="shared" ca="1" si="3"/>
        <v/>
      </c>
      <c r="L20" t="str">
        <f t="shared" si="4"/>
        <v>Hello KABASAZ, your loan of UGX 600000 is due on 00-Jan-1900. Please clear to avoid penalty.</v>
      </c>
    </row>
    <row r="21" spans="1:12" x14ac:dyDescent="0.35">
      <c r="A21" t="s">
        <v>77</v>
      </c>
      <c r="C21" s="2">
        <v>50000</v>
      </c>
      <c r="D21">
        <f t="shared" si="0"/>
        <v>20000</v>
      </c>
      <c r="E21">
        <f t="shared" si="1"/>
        <v>70000</v>
      </c>
      <c r="F21" s="4">
        <v>45992</v>
      </c>
      <c r="H21">
        <f t="shared" ca="1" si="2"/>
        <v>46115</v>
      </c>
      <c r="J21" t="str">
        <f t="shared" ca="1" si="3"/>
        <v/>
      </c>
      <c r="L21" t="str">
        <f t="shared" si="4"/>
        <v>Hello KASULEZ, your loan of UGX 50000 is due on 00-Jan-1900. Please clear to avoid penalty.</v>
      </c>
    </row>
    <row r="22" spans="1:12" x14ac:dyDescent="0.35">
      <c r="A22" t="s">
        <v>78</v>
      </c>
      <c r="C22" s="2">
        <v>480000</v>
      </c>
      <c r="D22">
        <f t="shared" si="0"/>
        <v>192000</v>
      </c>
      <c r="E22">
        <f t="shared" si="1"/>
        <v>672000</v>
      </c>
      <c r="F22" s="4">
        <v>45992</v>
      </c>
      <c r="H22">
        <f t="shared" ca="1" si="2"/>
        <v>46115</v>
      </c>
      <c r="J22" t="str">
        <f t="shared" ca="1" si="3"/>
        <v/>
      </c>
      <c r="L22" t="str">
        <f t="shared" si="4"/>
        <v>Hello DILMAR, your loan of UGX 480000 is due on 00-Jan-1900. Please clear to avoid penalty.</v>
      </c>
    </row>
    <row r="23" spans="1:12" x14ac:dyDescent="0.35">
      <c r="A23" t="s">
        <v>79</v>
      </c>
      <c r="C23" s="2">
        <v>100000</v>
      </c>
      <c r="D23">
        <f t="shared" si="0"/>
        <v>40000</v>
      </c>
      <c r="E23">
        <f t="shared" si="1"/>
        <v>140000</v>
      </c>
      <c r="F23" s="4">
        <v>45992</v>
      </c>
      <c r="H23">
        <f t="shared" ca="1" si="2"/>
        <v>46115</v>
      </c>
      <c r="J23" t="str">
        <f t="shared" ca="1" si="3"/>
        <v/>
      </c>
      <c r="L23" t="str">
        <f t="shared" si="4"/>
        <v>Hello MALCOM, your loan of UGX 100000 is due on 00-Jan-1900. Please clear to avoid penalty.</v>
      </c>
    </row>
    <row r="24" spans="1:12" x14ac:dyDescent="0.35">
      <c r="A24" t="s">
        <v>80</v>
      </c>
      <c r="C24" s="2">
        <v>400000</v>
      </c>
      <c r="D24">
        <f t="shared" si="0"/>
        <v>160000</v>
      </c>
      <c r="E24">
        <f t="shared" si="1"/>
        <v>560000</v>
      </c>
      <c r="F24" s="4">
        <v>45992</v>
      </c>
      <c r="H24">
        <f t="shared" ca="1" si="2"/>
        <v>46115</v>
      </c>
      <c r="J24" t="str">
        <f t="shared" ca="1" si="3"/>
        <v/>
      </c>
      <c r="L24" t="str">
        <f t="shared" si="4"/>
        <v>Hello CASEY, your loan of UGX 400000 is due on 00-Jan-1900. Please clear to avoid penalty.</v>
      </c>
    </row>
    <row r="25" spans="1:12" x14ac:dyDescent="0.35">
      <c r="A25" t="s">
        <v>81</v>
      </c>
      <c r="C25" s="2">
        <v>400000</v>
      </c>
      <c r="D25">
        <f t="shared" si="0"/>
        <v>160000</v>
      </c>
      <c r="E25">
        <f t="shared" si="1"/>
        <v>560000</v>
      </c>
      <c r="F25" s="4">
        <v>45992</v>
      </c>
      <c r="H25">
        <f t="shared" ca="1" si="2"/>
        <v>46115</v>
      </c>
      <c r="J25" t="str">
        <f t="shared" ca="1" si="3"/>
        <v/>
      </c>
      <c r="L25" t="str">
        <f t="shared" si="4"/>
        <v>Hello SUDAIS, your loan of UGX 400000 is due on 00-Jan-1900. Please clear to avoid penalty.</v>
      </c>
    </row>
    <row r="26" spans="1:12" x14ac:dyDescent="0.35">
      <c r="A26" t="s">
        <v>56</v>
      </c>
      <c r="C26" s="2">
        <v>120000</v>
      </c>
      <c r="D26">
        <f t="shared" si="0"/>
        <v>48000</v>
      </c>
      <c r="E26">
        <f t="shared" si="1"/>
        <v>168000</v>
      </c>
      <c r="F26" s="4">
        <v>46094</v>
      </c>
      <c r="H26">
        <f t="shared" ca="1" si="2"/>
        <v>46115</v>
      </c>
      <c r="J26" t="str">
        <f t="shared" ca="1" si="3"/>
        <v/>
      </c>
      <c r="L26" t="str">
        <f t="shared" si="4"/>
        <v>Hello OWENZ, your loan of UGX 120000 is due on 00-Jan-1900. Please clear to avoid penalty.</v>
      </c>
    </row>
    <row r="27" spans="1:12" x14ac:dyDescent="0.35">
      <c r="A27" t="s">
        <v>66</v>
      </c>
      <c r="C27" s="2">
        <v>2000000</v>
      </c>
      <c r="D27">
        <f t="shared" si="0"/>
        <v>800000</v>
      </c>
      <c r="E27">
        <f t="shared" si="1"/>
        <v>2800000</v>
      </c>
      <c r="F27" s="4">
        <v>45992</v>
      </c>
      <c r="H27">
        <f t="shared" ca="1" si="2"/>
        <v>46115</v>
      </c>
      <c r="J27" t="str">
        <f t="shared" ca="1" si="3"/>
        <v/>
      </c>
      <c r="L27" t="str">
        <f t="shared" si="4"/>
        <v>Hello MAPIMAPI, your loan of UGX 2000000 is due on 00-Jan-1900. Please clear to avoid penalty.</v>
      </c>
    </row>
    <row r="28" spans="1:12" x14ac:dyDescent="0.35">
      <c r="A28" t="s">
        <v>82</v>
      </c>
      <c r="C28" s="2">
        <v>50000</v>
      </c>
      <c r="D28">
        <f t="shared" si="0"/>
        <v>20000</v>
      </c>
      <c r="E28">
        <f t="shared" si="1"/>
        <v>70000</v>
      </c>
      <c r="H28">
        <f t="shared" ca="1" si="2"/>
        <v>46115</v>
      </c>
      <c r="J28" t="str">
        <f t="shared" ca="1" si="3"/>
        <v/>
      </c>
      <c r="L28" t="str">
        <f t="shared" si="4"/>
        <v>Hello TOM, your loan of UGX 50000 is due on 00-Jan-1900. Please clear to avoid penalty.</v>
      </c>
    </row>
    <row r="29" spans="1:12" x14ac:dyDescent="0.35">
      <c r="A29" t="s">
        <v>83</v>
      </c>
      <c r="C29" s="2">
        <v>100000</v>
      </c>
      <c r="D29">
        <f t="shared" si="0"/>
        <v>40000</v>
      </c>
      <c r="E29">
        <f t="shared" si="1"/>
        <v>140000</v>
      </c>
      <c r="F29" s="4">
        <v>46097</v>
      </c>
      <c r="H29">
        <f t="shared" ca="1" si="2"/>
        <v>46115</v>
      </c>
      <c r="J29" t="str">
        <f t="shared" ca="1" si="3"/>
        <v/>
      </c>
      <c r="L29" t="str">
        <f t="shared" si="4"/>
        <v>Hello LINDA NOREEN, your loan of UGX 100000 is due on 00-Jan-1900. Please clear to avoid penalty.</v>
      </c>
    </row>
    <row r="30" spans="1:12" x14ac:dyDescent="0.35">
      <c r="A30" t="s">
        <v>85</v>
      </c>
      <c r="C30" s="2">
        <v>100000</v>
      </c>
      <c r="D30">
        <f t="shared" si="0"/>
        <v>40000</v>
      </c>
      <c r="E30">
        <f t="shared" si="1"/>
        <v>140000</v>
      </c>
      <c r="F30" s="4">
        <v>46107</v>
      </c>
      <c r="H30">
        <f t="shared" ca="1" si="2"/>
        <v>46115</v>
      </c>
      <c r="J30" t="str">
        <f t="shared" ca="1" si="3"/>
        <v/>
      </c>
      <c r="L30" t="str">
        <f t="shared" si="4"/>
        <v>Hello LUCAS, your loan of UGX 100000 is due on 00-Jan-1900. Please clear to avoid penalty.</v>
      </c>
    </row>
    <row r="31" spans="1:12" x14ac:dyDescent="0.35">
      <c r="A31" t="s">
        <v>86</v>
      </c>
      <c r="C31" s="2">
        <v>20000</v>
      </c>
      <c r="D31">
        <f t="shared" si="0"/>
        <v>8000</v>
      </c>
      <c r="E31">
        <f t="shared" si="1"/>
        <v>28000</v>
      </c>
      <c r="H31">
        <f t="shared" ca="1" si="2"/>
        <v>46115</v>
      </c>
      <c r="J31" t="str">
        <f t="shared" ca="1" si="3"/>
        <v/>
      </c>
      <c r="L31" t="str">
        <f t="shared" si="4"/>
        <v>Hello TURYATUNGA, your loan of UGX 20000 is due on 00-Jan-1900. Please clear to avoid penalty.</v>
      </c>
    </row>
    <row r="32" spans="1:12" x14ac:dyDescent="0.35">
      <c r="A32" t="s">
        <v>87</v>
      </c>
      <c r="C32" s="2">
        <v>100000</v>
      </c>
      <c r="D32">
        <f t="shared" si="0"/>
        <v>40000</v>
      </c>
      <c r="E32">
        <f t="shared" si="1"/>
        <v>140000</v>
      </c>
      <c r="F32" s="4">
        <v>46112</v>
      </c>
      <c r="H32">
        <f t="shared" ca="1" si="2"/>
        <v>46115</v>
      </c>
      <c r="J32" t="str">
        <f t="shared" ca="1" si="3"/>
        <v/>
      </c>
      <c r="L32" t="str">
        <f t="shared" si="4"/>
        <v>Hello MAKUMBI, your loan of UGX 100000 is due on 00-Jan-1900. Please clear to avoid penalty.</v>
      </c>
    </row>
    <row r="33" spans="1:12" x14ac:dyDescent="0.35">
      <c r="A33" t="s">
        <v>88</v>
      </c>
      <c r="C33" s="2">
        <v>100000</v>
      </c>
      <c r="D33">
        <f t="shared" si="0"/>
        <v>40000</v>
      </c>
      <c r="E33">
        <f t="shared" si="1"/>
        <v>140000</v>
      </c>
      <c r="F33" s="4">
        <v>46111</v>
      </c>
      <c r="H33">
        <f t="shared" ca="1" si="2"/>
        <v>46115</v>
      </c>
      <c r="J33" t="str">
        <f t="shared" ca="1" si="3"/>
        <v/>
      </c>
      <c r="L33" t="str">
        <f t="shared" si="4"/>
        <v>Hello WAKOLI JOSHUA, your loan of UGX 100000 is due on 00-Jan-1900. Please clear to avoid penalty.</v>
      </c>
    </row>
    <row r="34" spans="1:12" x14ac:dyDescent="0.35">
      <c r="A34" t="s">
        <v>89</v>
      </c>
      <c r="C34" s="2">
        <v>150000</v>
      </c>
      <c r="D34">
        <f t="shared" si="0"/>
        <v>60000</v>
      </c>
      <c r="E34">
        <f t="shared" si="1"/>
        <v>210000</v>
      </c>
      <c r="F34" s="4">
        <v>46112</v>
      </c>
      <c r="H34">
        <f t="shared" ca="1" si="2"/>
        <v>46115</v>
      </c>
      <c r="J34" t="str">
        <f t="shared" ca="1" si="3"/>
        <v/>
      </c>
      <c r="L34" t="str">
        <f t="shared" si="4"/>
        <v>Hello HYPER, your loan of UGX 150000 is due on 00-Jan-1900. Please clear to avoid penalty.</v>
      </c>
    </row>
    <row r="35" spans="1:12" x14ac:dyDescent="0.35">
      <c r="A35" t="s">
        <v>90</v>
      </c>
      <c r="C35" s="2">
        <v>10000</v>
      </c>
      <c r="D35">
        <f t="shared" si="0"/>
        <v>4000</v>
      </c>
      <c r="E35">
        <f t="shared" si="1"/>
        <v>14000</v>
      </c>
      <c r="F35" s="4">
        <v>46115</v>
      </c>
      <c r="H35">
        <f t="shared" ca="1" si="2"/>
        <v>46115</v>
      </c>
      <c r="J35" t="str">
        <f t="shared" ca="1" si="3"/>
        <v/>
      </c>
      <c r="L35" t="str">
        <f t="shared" si="4"/>
        <v>Hello LULE, your loan of UGX 10000 is due on 00-Jan-1900. Please clear to avoid penalty.</v>
      </c>
    </row>
    <row r="36" spans="1:12" x14ac:dyDescent="0.35">
      <c r="D36">
        <f t="shared" si="0"/>
        <v>0</v>
      </c>
      <c r="E36">
        <f t="shared" si="1"/>
        <v>0</v>
      </c>
      <c r="H36">
        <f t="shared" ca="1" si="2"/>
        <v>46115</v>
      </c>
      <c r="J36" t="str">
        <f t="shared" ca="1" si="3"/>
        <v/>
      </c>
      <c r="L36" t="str">
        <f t="shared" si="4"/>
        <v>Hello , your loan of UGX  is due on 00-Jan-1900. Please clear to avoid penalty.</v>
      </c>
    </row>
    <row r="37" spans="1:12" x14ac:dyDescent="0.35">
      <c r="D37">
        <f t="shared" si="0"/>
        <v>0</v>
      </c>
      <c r="E37">
        <f t="shared" si="1"/>
        <v>0</v>
      </c>
      <c r="H37">
        <f t="shared" ca="1" si="2"/>
        <v>46115</v>
      </c>
      <c r="J37" t="str">
        <f t="shared" ca="1" si="3"/>
        <v/>
      </c>
      <c r="L37" t="str">
        <f t="shared" si="4"/>
        <v>Hello , your loan of UGX  is due on 00-Jan-1900. Please clear to avoid penalty.</v>
      </c>
    </row>
    <row r="38" spans="1:12" x14ac:dyDescent="0.35">
      <c r="D38">
        <f t="shared" si="0"/>
        <v>0</v>
      </c>
      <c r="E38">
        <f t="shared" si="1"/>
        <v>0</v>
      </c>
      <c r="H38">
        <f t="shared" ca="1" si="2"/>
        <v>46115</v>
      </c>
      <c r="J38" t="str">
        <f t="shared" ca="1" si="3"/>
        <v/>
      </c>
      <c r="L38" t="str">
        <f t="shared" si="4"/>
        <v>Hello , your loan of UGX  is due on 00-Jan-1900. Please clear to avoid penalty.</v>
      </c>
    </row>
    <row r="39" spans="1:12" x14ac:dyDescent="0.35">
      <c r="D39">
        <f t="shared" si="0"/>
        <v>0</v>
      </c>
      <c r="E39">
        <f t="shared" si="1"/>
        <v>0</v>
      </c>
      <c r="H39">
        <f t="shared" ca="1" si="2"/>
        <v>46115</v>
      </c>
      <c r="J39" t="str">
        <f t="shared" ca="1" si="3"/>
        <v/>
      </c>
      <c r="L39" t="str">
        <f t="shared" si="4"/>
        <v>Hello , your loan of UGX  is due on 00-Jan-1900. Please clear to avoid penalty.</v>
      </c>
    </row>
    <row r="40" spans="1:12" x14ac:dyDescent="0.35">
      <c r="D40">
        <f t="shared" si="0"/>
        <v>0</v>
      </c>
      <c r="E40">
        <f t="shared" si="1"/>
        <v>0</v>
      </c>
      <c r="H40">
        <f t="shared" ca="1" si="2"/>
        <v>46115</v>
      </c>
      <c r="J40" t="str">
        <f t="shared" ca="1" si="3"/>
        <v/>
      </c>
      <c r="L40" t="str">
        <f t="shared" si="4"/>
        <v>Hello , your loan of UGX  is due on 00-Jan-1900. Please clear to avoid penalty.</v>
      </c>
    </row>
    <row r="41" spans="1:12" x14ac:dyDescent="0.35">
      <c r="D41">
        <f t="shared" si="0"/>
        <v>0</v>
      </c>
      <c r="E41">
        <f t="shared" si="1"/>
        <v>0</v>
      </c>
      <c r="H41">
        <f t="shared" ca="1" si="2"/>
        <v>46115</v>
      </c>
      <c r="J41" t="str">
        <f t="shared" ca="1" si="3"/>
        <v/>
      </c>
      <c r="L41" t="str">
        <f t="shared" si="4"/>
        <v>Hello , your loan of UGX  is due on 00-Jan-1900. Please clear to avoid penalty.</v>
      </c>
    </row>
    <row r="42" spans="1:12" x14ac:dyDescent="0.35">
      <c r="D42">
        <f t="shared" si="0"/>
        <v>0</v>
      </c>
      <c r="E42">
        <f t="shared" si="1"/>
        <v>0</v>
      </c>
      <c r="H42">
        <f t="shared" ca="1" si="2"/>
        <v>46115</v>
      </c>
      <c r="J42" t="str">
        <f t="shared" ca="1" si="3"/>
        <v/>
      </c>
      <c r="L42" t="str">
        <f t="shared" si="4"/>
        <v>Hello , your loan of UGX  is due on 00-Jan-1900. Please clear to avoid penalty.</v>
      </c>
    </row>
    <row r="43" spans="1:12" x14ac:dyDescent="0.35">
      <c r="D43">
        <f t="shared" si="0"/>
        <v>0</v>
      </c>
      <c r="E43">
        <f t="shared" si="1"/>
        <v>0</v>
      </c>
      <c r="H43">
        <f t="shared" ca="1" si="2"/>
        <v>46115</v>
      </c>
      <c r="J43" t="str">
        <f t="shared" ca="1" si="3"/>
        <v/>
      </c>
      <c r="L43" t="str">
        <f t="shared" si="4"/>
        <v>Hello , your loan of UGX  is due on 00-Jan-1900. Please clear to avoid penalty.</v>
      </c>
    </row>
    <row r="44" spans="1:12" x14ac:dyDescent="0.35">
      <c r="D44">
        <f t="shared" si="0"/>
        <v>0</v>
      </c>
      <c r="E44">
        <f t="shared" si="1"/>
        <v>0</v>
      </c>
      <c r="H44">
        <f t="shared" ca="1" si="2"/>
        <v>46115</v>
      </c>
      <c r="J44" t="str">
        <f t="shared" ca="1" si="3"/>
        <v/>
      </c>
      <c r="L44" t="str">
        <f t="shared" si="4"/>
        <v>Hello , your loan of UGX  is due on 00-Jan-1900. Please clear to avoid penalty.</v>
      </c>
    </row>
    <row r="45" spans="1:12" x14ac:dyDescent="0.35">
      <c r="D45">
        <f t="shared" si="0"/>
        <v>0</v>
      </c>
      <c r="E45">
        <f t="shared" si="1"/>
        <v>0</v>
      </c>
      <c r="H45">
        <f t="shared" ca="1" si="2"/>
        <v>46115</v>
      </c>
      <c r="J45" t="str">
        <f t="shared" ca="1" si="3"/>
        <v/>
      </c>
      <c r="L45" t="str">
        <f t="shared" si="4"/>
        <v>Hello , your loan of UGX  is due on 00-Jan-1900. Please clear to avoid penalty.</v>
      </c>
    </row>
    <row r="46" spans="1:12" x14ac:dyDescent="0.35">
      <c r="D46">
        <f t="shared" si="0"/>
        <v>0</v>
      </c>
      <c r="E46">
        <f t="shared" si="1"/>
        <v>0</v>
      </c>
      <c r="H46">
        <f t="shared" ca="1" si="2"/>
        <v>46115</v>
      </c>
      <c r="J46" t="str">
        <f t="shared" ca="1" si="3"/>
        <v/>
      </c>
      <c r="L46" t="str">
        <f t="shared" si="4"/>
        <v>Hello , your loan of UGX  is due on 00-Jan-1900. Please clear to avoid penalty.</v>
      </c>
    </row>
    <row r="47" spans="1:12" x14ac:dyDescent="0.35">
      <c r="D47">
        <f t="shared" si="0"/>
        <v>0</v>
      </c>
      <c r="E47">
        <f t="shared" si="1"/>
        <v>0</v>
      </c>
      <c r="H47">
        <f t="shared" ca="1" si="2"/>
        <v>46115</v>
      </c>
      <c r="J47" t="str">
        <f t="shared" ca="1" si="3"/>
        <v/>
      </c>
      <c r="L47" t="str">
        <f t="shared" si="4"/>
        <v>Hello , your loan of UGX  is due on 00-Jan-1900. Please clear to avoid penalty.</v>
      </c>
    </row>
    <row r="48" spans="1:12" x14ac:dyDescent="0.35">
      <c r="D48">
        <f t="shared" si="0"/>
        <v>0</v>
      </c>
      <c r="E48">
        <f t="shared" si="1"/>
        <v>0</v>
      </c>
      <c r="H48">
        <f t="shared" ca="1" si="2"/>
        <v>46115</v>
      </c>
      <c r="J48" t="str">
        <f t="shared" ca="1" si="3"/>
        <v/>
      </c>
      <c r="L48" t="str">
        <f t="shared" si="4"/>
        <v>Hello , your loan of UGX  is due on 00-Jan-1900. Please clear to avoid penalty.</v>
      </c>
    </row>
    <row r="49" spans="4:12" x14ac:dyDescent="0.35">
      <c r="D49">
        <f t="shared" ref="D49:D112" si="5">C49*0.4</f>
        <v>0</v>
      </c>
      <c r="E49">
        <f t="shared" ref="E49:E112" si="6">C49+D49</f>
        <v>0</v>
      </c>
      <c r="H49">
        <f t="shared" ref="H49:H112" ca="1" si="7">IF(TODAY()&gt;G49, TODAY()-G49, 0)</f>
        <v>46115</v>
      </c>
      <c r="J49" t="str">
        <f t="shared" ref="J49:J112" ca="1" si="8">IF(J49="Closed","Closed",IF(TODAY()&gt;G49,"Late",IF(TODAY()=G49,"Due Today","Active")))</f>
        <v/>
      </c>
      <c r="L49" t="str">
        <f t="shared" ref="L49:L112" si="9">"Hello "&amp;A49&amp;", your loan of UGX "&amp;C49&amp;" is due on "&amp;TEXT(G49,"dd-mmm-yyyy")&amp;". Please clear to avoid penalty."</f>
        <v>Hello , your loan of UGX  is due on 00-Jan-1900. Please clear to avoid penalty.</v>
      </c>
    </row>
    <row r="50" spans="4:12" x14ac:dyDescent="0.35">
      <c r="D50">
        <f t="shared" si="5"/>
        <v>0</v>
      </c>
      <c r="E50">
        <f t="shared" si="6"/>
        <v>0</v>
      </c>
      <c r="H50">
        <f t="shared" ca="1" si="7"/>
        <v>46115</v>
      </c>
      <c r="J50" t="str">
        <f t="shared" ca="1" si="8"/>
        <v/>
      </c>
      <c r="L50" t="str">
        <f t="shared" si="9"/>
        <v>Hello , your loan of UGX  is due on 00-Jan-1900. Please clear to avoid penalty.</v>
      </c>
    </row>
    <row r="51" spans="4:12" x14ac:dyDescent="0.35">
      <c r="D51">
        <f t="shared" si="5"/>
        <v>0</v>
      </c>
      <c r="E51">
        <f t="shared" si="6"/>
        <v>0</v>
      </c>
      <c r="H51">
        <f t="shared" ca="1" si="7"/>
        <v>46115</v>
      </c>
      <c r="J51" t="str">
        <f t="shared" ca="1" si="8"/>
        <v/>
      </c>
      <c r="L51" t="str">
        <f t="shared" si="9"/>
        <v>Hello , your loan of UGX  is due on 00-Jan-1900. Please clear to avoid penalty.</v>
      </c>
    </row>
    <row r="52" spans="4:12" x14ac:dyDescent="0.35">
      <c r="D52">
        <f t="shared" si="5"/>
        <v>0</v>
      </c>
      <c r="E52">
        <f t="shared" si="6"/>
        <v>0</v>
      </c>
      <c r="H52">
        <f t="shared" ca="1" si="7"/>
        <v>46115</v>
      </c>
      <c r="J52" t="str">
        <f t="shared" ca="1" si="8"/>
        <v/>
      </c>
      <c r="L52" t="str">
        <f t="shared" si="9"/>
        <v>Hello , your loan of UGX  is due on 00-Jan-1900. Please clear to avoid penalty.</v>
      </c>
    </row>
    <row r="53" spans="4:12" x14ac:dyDescent="0.35">
      <c r="D53">
        <f t="shared" si="5"/>
        <v>0</v>
      </c>
      <c r="E53">
        <f t="shared" si="6"/>
        <v>0</v>
      </c>
      <c r="H53">
        <f t="shared" ca="1" si="7"/>
        <v>46115</v>
      </c>
      <c r="J53" t="str">
        <f t="shared" ca="1" si="8"/>
        <v/>
      </c>
      <c r="L53" t="str">
        <f t="shared" si="9"/>
        <v>Hello , your loan of UGX  is due on 00-Jan-1900. Please clear to avoid penalty.</v>
      </c>
    </row>
    <row r="54" spans="4:12" x14ac:dyDescent="0.35">
      <c r="D54">
        <f t="shared" si="5"/>
        <v>0</v>
      </c>
      <c r="E54">
        <f t="shared" si="6"/>
        <v>0</v>
      </c>
      <c r="H54">
        <f t="shared" ca="1" si="7"/>
        <v>46115</v>
      </c>
      <c r="J54" t="str">
        <f t="shared" ca="1" si="8"/>
        <v/>
      </c>
      <c r="L54" t="str">
        <f t="shared" si="9"/>
        <v>Hello , your loan of UGX  is due on 00-Jan-1900. Please clear to avoid penalty.</v>
      </c>
    </row>
    <row r="55" spans="4:12" x14ac:dyDescent="0.35">
      <c r="D55">
        <f t="shared" si="5"/>
        <v>0</v>
      </c>
      <c r="E55">
        <f t="shared" si="6"/>
        <v>0</v>
      </c>
      <c r="H55">
        <f t="shared" ca="1" si="7"/>
        <v>46115</v>
      </c>
      <c r="J55" t="str">
        <f t="shared" ca="1" si="8"/>
        <v/>
      </c>
      <c r="L55" t="str">
        <f t="shared" si="9"/>
        <v>Hello , your loan of UGX  is due on 00-Jan-1900. Please clear to avoid penalty.</v>
      </c>
    </row>
    <row r="56" spans="4:12" x14ac:dyDescent="0.35">
      <c r="D56">
        <f t="shared" si="5"/>
        <v>0</v>
      </c>
      <c r="E56">
        <f t="shared" si="6"/>
        <v>0</v>
      </c>
      <c r="H56">
        <f t="shared" ca="1" si="7"/>
        <v>46115</v>
      </c>
      <c r="J56" t="str">
        <f t="shared" ca="1" si="8"/>
        <v/>
      </c>
      <c r="L56" t="str">
        <f t="shared" si="9"/>
        <v>Hello , your loan of UGX  is due on 00-Jan-1900. Please clear to avoid penalty.</v>
      </c>
    </row>
    <row r="57" spans="4:12" x14ac:dyDescent="0.35">
      <c r="D57">
        <f t="shared" si="5"/>
        <v>0</v>
      </c>
      <c r="E57">
        <f t="shared" si="6"/>
        <v>0</v>
      </c>
      <c r="H57">
        <f t="shared" ca="1" si="7"/>
        <v>46115</v>
      </c>
      <c r="J57" t="str">
        <f t="shared" ca="1" si="8"/>
        <v/>
      </c>
      <c r="L57" t="str">
        <f t="shared" si="9"/>
        <v>Hello , your loan of UGX  is due on 00-Jan-1900. Please clear to avoid penalty.</v>
      </c>
    </row>
    <row r="58" spans="4:12" x14ac:dyDescent="0.35">
      <c r="D58">
        <f t="shared" si="5"/>
        <v>0</v>
      </c>
      <c r="E58">
        <f t="shared" si="6"/>
        <v>0</v>
      </c>
      <c r="H58">
        <f t="shared" ca="1" si="7"/>
        <v>46115</v>
      </c>
      <c r="J58" t="str">
        <f t="shared" ca="1" si="8"/>
        <v/>
      </c>
      <c r="L58" t="str">
        <f t="shared" si="9"/>
        <v>Hello , your loan of UGX  is due on 00-Jan-1900. Please clear to avoid penalty.</v>
      </c>
    </row>
    <row r="59" spans="4:12" x14ac:dyDescent="0.35">
      <c r="D59">
        <f t="shared" si="5"/>
        <v>0</v>
      </c>
      <c r="E59">
        <f t="shared" si="6"/>
        <v>0</v>
      </c>
      <c r="H59">
        <f t="shared" ca="1" si="7"/>
        <v>46115</v>
      </c>
      <c r="J59" t="str">
        <f t="shared" ca="1" si="8"/>
        <v/>
      </c>
      <c r="L59" t="str">
        <f t="shared" si="9"/>
        <v>Hello , your loan of UGX  is due on 00-Jan-1900. Please clear to avoid penalty.</v>
      </c>
    </row>
    <row r="60" spans="4:12" x14ac:dyDescent="0.35">
      <c r="D60">
        <f t="shared" si="5"/>
        <v>0</v>
      </c>
      <c r="E60">
        <f t="shared" si="6"/>
        <v>0</v>
      </c>
      <c r="H60">
        <f t="shared" ca="1" si="7"/>
        <v>46115</v>
      </c>
      <c r="J60" t="str">
        <f t="shared" ca="1" si="8"/>
        <v/>
      </c>
      <c r="L60" t="str">
        <f t="shared" si="9"/>
        <v>Hello , your loan of UGX  is due on 00-Jan-1900. Please clear to avoid penalty.</v>
      </c>
    </row>
    <row r="61" spans="4:12" x14ac:dyDescent="0.35">
      <c r="D61">
        <f t="shared" si="5"/>
        <v>0</v>
      </c>
      <c r="E61">
        <f t="shared" si="6"/>
        <v>0</v>
      </c>
      <c r="H61">
        <f t="shared" ca="1" si="7"/>
        <v>46115</v>
      </c>
      <c r="J61" t="str">
        <f t="shared" ca="1" si="8"/>
        <v/>
      </c>
      <c r="L61" t="str">
        <f t="shared" si="9"/>
        <v>Hello , your loan of UGX  is due on 00-Jan-1900. Please clear to avoid penalty.</v>
      </c>
    </row>
    <row r="62" spans="4:12" x14ac:dyDescent="0.35">
      <c r="D62">
        <f t="shared" si="5"/>
        <v>0</v>
      </c>
      <c r="E62">
        <f t="shared" si="6"/>
        <v>0</v>
      </c>
      <c r="H62">
        <f t="shared" ca="1" si="7"/>
        <v>46115</v>
      </c>
      <c r="J62" t="str">
        <f t="shared" ca="1" si="8"/>
        <v/>
      </c>
      <c r="L62" t="str">
        <f t="shared" si="9"/>
        <v>Hello , your loan of UGX  is due on 00-Jan-1900. Please clear to avoid penalty.</v>
      </c>
    </row>
    <row r="63" spans="4:12" x14ac:dyDescent="0.35">
      <c r="D63">
        <f t="shared" si="5"/>
        <v>0</v>
      </c>
      <c r="E63">
        <f t="shared" si="6"/>
        <v>0</v>
      </c>
      <c r="H63">
        <f t="shared" ca="1" si="7"/>
        <v>46115</v>
      </c>
      <c r="J63" t="str">
        <f t="shared" ca="1" si="8"/>
        <v/>
      </c>
      <c r="L63" t="str">
        <f t="shared" si="9"/>
        <v>Hello , your loan of UGX  is due on 00-Jan-1900. Please clear to avoid penalty.</v>
      </c>
    </row>
    <row r="64" spans="4:12" x14ac:dyDescent="0.35">
      <c r="D64">
        <f t="shared" si="5"/>
        <v>0</v>
      </c>
      <c r="E64">
        <f t="shared" si="6"/>
        <v>0</v>
      </c>
      <c r="H64">
        <f t="shared" ca="1" si="7"/>
        <v>46115</v>
      </c>
      <c r="J64" t="str">
        <f t="shared" ca="1" si="8"/>
        <v/>
      </c>
      <c r="L64" t="str">
        <f t="shared" si="9"/>
        <v>Hello , your loan of UGX  is due on 00-Jan-1900. Please clear to avoid penalty.</v>
      </c>
    </row>
    <row r="65" spans="4:12" x14ac:dyDescent="0.35">
      <c r="D65">
        <f t="shared" si="5"/>
        <v>0</v>
      </c>
      <c r="E65">
        <f t="shared" si="6"/>
        <v>0</v>
      </c>
      <c r="H65">
        <f t="shared" ca="1" si="7"/>
        <v>46115</v>
      </c>
      <c r="J65" t="str">
        <f t="shared" ca="1" si="8"/>
        <v/>
      </c>
      <c r="L65" t="str">
        <f t="shared" si="9"/>
        <v>Hello , your loan of UGX  is due on 00-Jan-1900. Please clear to avoid penalty.</v>
      </c>
    </row>
    <row r="66" spans="4:12" x14ac:dyDescent="0.35">
      <c r="D66">
        <f t="shared" si="5"/>
        <v>0</v>
      </c>
      <c r="E66">
        <f t="shared" si="6"/>
        <v>0</v>
      </c>
      <c r="H66">
        <f t="shared" ca="1" si="7"/>
        <v>46115</v>
      </c>
      <c r="J66" t="str">
        <f t="shared" ca="1" si="8"/>
        <v/>
      </c>
      <c r="L66" t="str">
        <f t="shared" si="9"/>
        <v>Hello , your loan of UGX  is due on 00-Jan-1900. Please clear to avoid penalty.</v>
      </c>
    </row>
    <row r="67" spans="4:12" x14ac:dyDescent="0.35">
      <c r="D67">
        <f t="shared" si="5"/>
        <v>0</v>
      </c>
      <c r="E67">
        <f t="shared" si="6"/>
        <v>0</v>
      </c>
      <c r="H67">
        <f t="shared" ca="1" si="7"/>
        <v>46115</v>
      </c>
      <c r="J67" t="str">
        <f t="shared" ca="1" si="8"/>
        <v/>
      </c>
      <c r="L67" t="str">
        <f t="shared" si="9"/>
        <v>Hello , your loan of UGX  is due on 00-Jan-1900. Please clear to avoid penalty.</v>
      </c>
    </row>
    <row r="68" spans="4:12" x14ac:dyDescent="0.35">
      <c r="D68">
        <f t="shared" si="5"/>
        <v>0</v>
      </c>
      <c r="E68">
        <f t="shared" si="6"/>
        <v>0</v>
      </c>
      <c r="H68">
        <f t="shared" ca="1" si="7"/>
        <v>46115</v>
      </c>
      <c r="J68" t="str">
        <f t="shared" ca="1" si="8"/>
        <v/>
      </c>
      <c r="L68" t="str">
        <f t="shared" si="9"/>
        <v>Hello , your loan of UGX  is due on 00-Jan-1900. Please clear to avoid penalty.</v>
      </c>
    </row>
    <row r="69" spans="4:12" x14ac:dyDescent="0.35">
      <c r="D69">
        <f t="shared" si="5"/>
        <v>0</v>
      </c>
      <c r="E69">
        <f t="shared" si="6"/>
        <v>0</v>
      </c>
      <c r="H69">
        <f t="shared" ca="1" si="7"/>
        <v>46115</v>
      </c>
      <c r="J69" t="str">
        <f t="shared" ca="1" si="8"/>
        <v/>
      </c>
      <c r="L69" t="str">
        <f t="shared" si="9"/>
        <v>Hello , your loan of UGX  is due on 00-Jan-1900. Please clear to avoid penalty.</v>
      </c>
    </row>
    <row r="70" spans="4:12" x14ac:dyDescent="0.35">
      <c r="D70">
        <f t="shared" si="5"/>
        <v>0</v>
      </c>
      <c r="E70">
        <f t="shared" si="6"/>
        <v>0</v>
      </c>
      <c r="H70">
        <f t="shared" ca="1" si="7"/>
        <v>46115</v>
      </c>
      <c r="J70" t="str">
        <f t="shared" ca="1" si="8"/>
        <v/>
      </c>
      <c r="L70" t="str">
        <f t="shared" si="9"/>
        <v>Hello , your loan of UGX  is due on 00-Jan-1900. Please clear to avoid penalty.</v>
      </c>
    </row>
    <row r="71" spans="4:12" x14ac:dyDescent="0.35">
      <c r="D71">
        <f t="shared" si="5"/>
        <v>0</v>
      </c>
      <c r="E71">
        <f t="shared" si="6"/>
        <v>0</v>
      </c>
      <c r="H71">
        <f t="shared" ca="1" si="7"/>
        <v>46115</v>
      </c>
      <c r="J71" t="str">
        <f t="shared" ca="1" si="8"/>
        <v/>
      </c>
      <c r="L71" t="str">
        <f t="shared" si="9"/>
        <v>Hello , your loan of UGX  is due on 00-Jan-1900. Please clear to avoid penalty.</v>
      </c>
    </row>
    <row r="72" spans="4:12" x14ac:dyDescent="0.35">
      <c r="D72">
        <f t="shared" si="5"/>
        <v>0</v>
      </c>
      <c r="E72">
        <f t="shared" si="6"/>
        <v>0</v>
      </c>
      <c r="H72">
        <f t="shared" ca="1" si="7"/>
        <v>46115</v>
      </c>
      <c r="J72" t="str">
        <f t="shared" ca="1" si="8"/>
        <v/>
      </c>
      <c r="L72" t="str">
        <f t="shared" si="9"/>
        <v>Hello , your loan of UGX  is due on 00-Jan-1900. Please clear to avoid penalty.</v>
      </c>
    </row>
    <row r="73" spans="4:12" x14ac:dyDescent="0.35">
      <c r="D73">
        <f t="shared" si="5"/>
        <v>0</v>
      </c>
      <c r="E73">
        <f t="shared" si="6"/>
        <v>0</v>
      </c>
      <c r="H73">
        <f t="shared" ca="1" si="7"/>
        <v>46115</v>
      </c>
      <c r="J73" t="str">
        <f t="shared" ca="1" si="8"/>
        <v/>
      </c>
      <c r="L73" t="str">
        <f t="shared" si="9"/>
        <v>Hello , your loan of UGX  is due on 00-Jan-1900. Please clear to avoid penalty.</v>
      </c>
    </row>
    <row r="74" spans="4:12" x14ac:dyDescent="0.35">
      <c r="D74">
        <f t="shared" si="5"/>
        <v>0</v>
      </c>
      <c r="E74">
        <f t="shared" si="6"/>
        <v>0</v>
      </c>
      <c r="H74">
        <f t="shared" ca="1" si="7"/>
        <v>46115</v>
      </c>
      <c r="J74" t="str">
        <f t="shared" ca="1" si="8"/>
        <v/>
      </c>
      <c r="L74" t="str">
        <f t="shared" si="9"/>
        <v>Hello , your loan of UGX  is due on 00-Jan-1900. Please clear to avoid penalty.</v>
      </c>
    </row>
    <row r="75" spans="4:12" x14ac:dyDescent="0.35">
      <c r="D75">
        <f t="shared" si="5"/>
        <v>0</v>
      </c>
      <c r="E75">
        <f t="shared" si="6"/>
        <v>0</v>
      </c>
      <c r="H75">
        <f t="shared" ca="1" si="7"/>
        <v>46115</v>
      </c>
      <c r="J75" t="str">
        <f t="shared" ca="1" si="8"/>
        <v/>
      </c>
      <c r="L75" t="str">
        <f t="shared" si="9"/>
        <v>Hello , your loan of UGX  is due on 00-Jan-1900. Please clear to avoid penalty.</v>
      </c>
    </row>
    <row r="76" spans="4:12" x14ac:dyDescent="0.35">
      <c r="D76">
        <f t="shared" si="5"/>
        <v>0</v>
      </c>
      <c r="E76">
        <f t="shared" si="6"/>
        <v>0</v>
      </c>
      <c r="H76">
        <f t="shared" ca="1" si="7"/>
        <v>46115</v>
      </c>
      <c r="J76" t="str">
        <f t="shared" ca="1" si="8"/>
        <v/>
      </c>
      <c r="L76" t="str">
        <f t="shared" si="9"/>
        <v>Hello , your loan of UGX  is due on 00-Jan-1900. Please clear to avoid penalty.</v>
      </c>
    </row>
    <row r="77" spans="4:12" x14ac:dyDescent="0.35">
      <c r="D77">
        <f t="shared" si="5"/>
        <v>0</v>
      </c>
      <c r="E77">
        <f t="shared" si="6"/>
        <v>0</v>
      </c>
      <c r="H77">
        <f t="shared" ca="1" si="7"/>
        <v>46115</v>
      </c>
      <c r="J77" t="str">
        <f t="shared" ca="1" si="8"/>
        <v/>
      </c>
      <c r="L77" t="str">
        <f t="shared" si="9"/>
        <v>Hello , your loan of UGX  is due on 00-Jan-1900. Please clear to avoid penalty.</v>
      </c>
    </row>
    <row r="78" spans="4:12" x14ac:dyDescent="0.35">
      <c r="D78">
        <f t="shared" si="5"/>
        <v>0</v>
      </c>
      <c r="E78">
        <f t="shared" si="6"/>
        <v>0</v>
      </c>
      <c r="H78">
        <f t="shared" ca="1" si="7"/>
        <v>46115</v>
      </c>
      <c r="J78" t="str">
        <f t="shared" ca="1" si="8"/>
        <v/>
      </c>
      <c r="L78" t="str">
        <f t="shared" si="9"/>
        <v>Hello , your loan of UGX  is due on 00-Jan-1900. Please clear to avoid penalty.</v>
      </c>
    </row>
    <row r="79" spans="4:12" x14ac:dyDescent="0.35">
      <c r="D79">
        <f t="shared" si="5"/>
        <v>0</v>
      </c>
      <c r="E79">
        <f t="shared" si="6"/>
        <v>0</v>
      </c>
      <c r="H79">
        <f t="shared" ca="1" si="7"/>
        <v>46115</v>
      </c>
      <c r="J79" t="str">
        <f t="shared" ca="1" si="8"/>
        <v/>
      </c>
      <c r="L79" t="str">
        <f t="shared" si="9"/>
        <v>Hello , your loan of UGX  is due on 00-Jan-1900. Please clear to avoid penalty.</v>
      </c>
    </row>
    <row r="80" spans="4:12" x14ac:dyDescent="0.35">
      <c r="D80">
        <f t="shared" si="5"/>
        <v>0</v>
      </c>
      <c r="E80">
        <f t="shared" si="6"/>
        <v>0</v>
      </c>
      <c r="H80">
        <f t="shared" ca="1" si="7"/>
        <v>46115</v>
      </c>
      <c r="J80" t="str">
        <f t="shared" ca="1" si="8"/>
        <v/>
      </c>
      <c r="L80" t="str">
        <f t="shared" si="9"/>
        <v>Hello , your loan of UGX  is due on 00-Jan-1900. Please clear to avoid penalty.</v>
      </c>
    </row>
    <row r="81" spans="4:12" x14ac:dyDescent="0.35">
      <c r="D81">
        <f t="shared" si="5"/>
        <v>0</v>
      </c>
      <c r="E81">
        <f t="shared" si="6"/>
        <v>0</v>
      </c>
      <c r="H81">
        <f t="shared" ca="1" si="7"/>
        <v>46115</v>
      </c>
      <c r="J81" t="str">
        <f t="shared" ca="1" si="8"/>
        <v/>
      </c>
      <c r="L81" t="str">
        <f t="shared" si="9"/>
        <v>Hello , your loan of UGX  is due on 00-Jan-1900. Please clear to avoid penalty.</v>
      </c>
    </row>
    <row r="82" spans="4:12" x14ac:dyDescent="0.35">
      <c r="D82">
        <f t="shared" si="5"/>
        <v>0</v>
      </c>
      <c r="E82">
        <f t="shared" si="6"/>
        <v>0</v>
      </c>
      <c r="H82">
        <f t="shared" ca="1" si="7"/>
        <v>46115</v>
      </c>
      <c r="J82" t="str">
        <f t="shared" ca="1" si="8"/>
        <v/>
      </c>
      <c r="L82" t="str">
        <f t="shared" si="9"/>
        <v>Hello , your loan of UGX  is due on 00-Jan-1900. Please clear to avoid penalty.</v>
      </c>
    </row>
    <row r="83" spans="4:12" x14ac:dyDescent="0.35">
      <c r="D83">
        <f t="shared" si="5"/>
        <v>0</v>
      </c>
      <c r="E83">
        <f t="shared" si="6"/>
        <v>0</v>
      </c>
      <c r="H83">
        <f t="shared" ca="1" si="7"/>
        <v>46115</v>
      </c>
      <c r="J83" t="str">
        <f t="shared" ca="1" si="8"/>
        <v/>
      </c>
      <c r="L83" t="str">
        <f t="shared" si="9"/>
        <v>Hello , your loan of UGX  is due on 00-Jan-1900. Please clear to avoid penalty.</v>
      </c>
    </row>
    <row r="84" spans="4:12" x14ac:dyDescent="0.35">
      <c r="D84">
        <f t="shared" si="5"/>
        <v>0</v>
      </c>
      <c r="E84">
        <f t="shared" si="6"/>
        <v>0</v>
      </c>
      <c r="H84">
        <f t="shared" ca="1" si="7"/>
        <v>46115</v>
      </c>
      <c r="J84" t="str">
        <f t="shared" ca="1" si="8"/>
        <v/>
      </c>
      <c r="L84" t="str">
        <f t="shared" si="9"/>
        <v>Hello , your loan of UGX  is due on 00-Jan-1900. Please clear to avoid penalty.</v>
      </c>
    </row>
    <row r="85" spans="4:12" x14ac:dyDescent="0.35">
      <c r="D85">
        <f t="shared" si="5"/>
        <v>0</v>
      </c>
      <c r="E85">
        <f t="shared" si="6"/>
        <v>0</v>
      </c>
      <c r="H85">
        <f t="shared" ca="1" si="7"/>
        <v>46115</v>
      </c>
      <c r="J85" t="str">
        <f t="shared" ca="1" si="8"/>
        <v/>
      </c>
      <c r="L85" t="str">
        <f t="shared" si="9"/>
        <v>Hello , your loan of UGX  is due on 00-Jan-1900. Please clear to avoid penalty.</v>
      </c>
    </row>
    <row r="86" spans="4:12" x14ac:dyDescent="0.35">
      <c r="D86">
        <f t="shared" si="5"/>
        <v>0</v>
      </c>
      <c r="E86">
        <f t="shared" si="6"/>
        <v>0</v>
      </c>
      <c r="H86">
        <f t="shared" ca="1" si="7"/>
        <v>46115</v>
      </c>
      <c r="J86" t="str">
        <f t="shared" ca="1" si="8"/>
        <v/>
      </c>
      <c r="L86" t="str">
        <f t="shared" si="9"/>
        <v>Hello , your loan of UGX  is due on 00-Jan-1900. Please clear to avoid penalty.</v>
      </c>
    </row>
    <row r="87" spans="4:12" x14ac:dyDescent="0.35">
      <c r="D87">
        <f t="shared" si="5"/>
        <v>0</v>
      </c>
      <c r="E87">
        <f t="shared" si="6"/>
        <v>0</v>
      </c>
      <c r="H87">
        <f t="shared" ca="1" si="7"/>
        <v>46115</v>
      </c>
      <c r="J87" t="str">
        <f t="shared" ca="1" si="8"/>
        <v/>
      </c>
      <c r="L87" t="str">
        <f t="shared" si="9"/>
        <v>Hello , your loan of UGX  is due on 00-Jan-1900. Please clear to avoid penalty.</v>
      </c>
    </row>
    <row r="88" spans="4:12" x14ac:dyDescent="0.35">
      <c r="D88">
        <f t="shared" si="5"/>
        <v>0</v>
      </c>
      <c r="E88">
        <f t="shared" si="6"/>
        <v>0</v>
      </c>
      <c r="H88">
        <f t="shared" ca="1" si="7"/>
        <v>46115</v>
      </c>
      <c r="J88" t="str">
        <f t="shared" ca="1" si="8"/>
        <v/>
      </c>
      <c r="L88" t="str">
        <f t="shared" si="9"/>
        <v>Hello , your loan of UGX  is due on 00-Jan-1900. Please clear to avoid penalty.</v>
      </c>
    </row>
    <row r="89" spans="4:12" x14ac:dyDescent="0.35">
      <c r="D89">
        <f t="shared" si="5"/>
        <v>0</v>
      </c>
      <c r="E89">
        <f t="shared" si="6"/>
        <v>0</v>
      </c>
      <c r="H89">
        <f t="shared" ca="1" si="7"/>
        <v>46115</v>
      </c>
      <c r="J89" t="str">
        <f t="shared" ca="1" si="8"/>
        <v/>
      </c>
      <c r="L89" t="str">
        <f t="shared" si="9"/>
        <v>Hello , your loan of UGX  is due on 00-Jan-1900. Please clear to avoid penalty.</v>
      </c>
    </row>
    <row r="90" spans="4:12" x14ac:dyDescent="0.35">
      <c r="D90">
        <f t="shared" si="5"/>
        <v>0</v>
      </c>
      <c r="E90">
        <f t="shared" si="6"/>
        <v>0</v>
      </c>
      <c r="H90">
        <f t="shared" ca="1" si="7"/>
        <v>46115</v>
      </c>
      <c r="J90" t="str">
        <f t="shared" ca="1" si="8"/>
        <v/>
      </c>
      <c r="L90" t="str">
        <f t="shared" si="9"/>
        <v>Hello , your loan of UGX  is due on 00-Jan-1900. Please clear to avoid penalty.</v>
      </c>
    </row>
    <row r="91" spans="4:12" x14ac:dyDescent="0.35">
      <c r="D91">
        <f t="shared" si="5"/>
        <v>0</v>
      </c>
      <c r="E91">
        <f t="shared" si="6"/>
        <v>0</v>
      </c>
      <c r="H91">
        <f t="shared" ca="1" si="7"/>
        <v>46115</v>
      </c>
      <c r="J91" t="str">
        <f t="shared" ca="1" si="8"/>
        <v/>
      </c>
      <c r="L91" t="str">
        <f t="shared" si="9"/>
        <v>Hello , your loan of UGX  is due on 00-Jan-1900. Please clear to avoid penalty.</v>
      </c>
    </row>
    <row r="92" spans="4:12" x14ac:dyDescent="0.35">
      <c r="D92">
        <f t="shared" si="5"/>
        <v>0</v>
      </c>
      <c r="E92">
        <f t="shared" si="6"/>
        <v>0</v>
      </c>
      <c r="H92">
        <f t="shared" ca="1" si="7"/>
        <v>46115</v>
      </c>
      <c r="J92" t="str">
        <f t="shared" ca="1" si="8"/>
        <v/>
      </c>
      <c r="L92" t="str">
        <f t="shared" si="9"/>
        <v>Hello , your loan of UGX  is due on 00-Jan-1900. Please clear to avoid penalty.</v>
      </c>
    </row>
    <row r="93" spans="4:12" x14ac:dyDescent="0.35">
      <c r="D93">
        <f t="shared" si="5"/>
        <v>0</v>
      </c>
      <c r="E93">
        <f t="shared" si="6"/>
        <v>0</v>
      </c>
      <c r="H93">
        <f t="shared" ca="1" si="7"/>
        <v>46115</v>
      </c>
      <c r="J93" t="str">
        <f t="shared" ca="1" si="8"/>
        <v/>
      </c>
      <c r="L93" t="str">
        <f t="shared" si="9"/>
        <v>Hello , your loan of UGX  is due on 00-Jan-1900. Please clear to avoid penalty.</v>
      </c>
    </row>
    <row r="94" spans="4:12" x14ac:dyDescent="0.35">
      <c r="D94">
        <f t="shared" si="5"/>
        <v>0</v>
      </c>
      <c r="E94">
        <f t="shared" si="6"/>
        <v>0</v>
      </c>
      <c r="H94">
        <f t="shared" ca="1" si="7"/>
        <v>46115</v>
      </c>
      <c r="J94" t="str">
        <f t="shared" ca="1" si="8"/>
        <v/>
      </c>
      <c r="L94" t="str">
        <f t="shared" si="9"/>
        <v>Hello , your loan of UGX  is due on 00-Jan-1900. Please clear to avoid penalty.</v>
      </c>
    </row>
    <row r="95" spans="4:12" x14ac:dyDescent="0.35">
      <c r="D95">
        <f t="shared" si="5"/>
        <v>0</v>
      </c>
      <c r="E95">
        <f t="shared" si="6"/>
        <v>0</v>
      </c>
      <c r="H95">
        <f t="shared" ca="1" si="7"/>
        <v>46115</v>
      </c>
      <c r="J95" t="str">
        <f t="shared" ca="1" si="8"/>
        <v/>
      </c>
      <c r="L95" t="str">
        <f t="shared" si="9"/>
        <v>Hello , your loan of UGX  is due on 00-Jan-1900. Please clear to avoid penalty.</v>
      </c>
    </row>
    <row r="96" spans="4:12" x14ac:dyDescent="0.35">
      <c r="D96">
        <f t="shared" si="5"/>
        <v>0</v>
      </c>
      <c r="E96">
        <f t="shared" si="6"/>
        <v>0</v>
      </c>
      <c r="H96">
        <f t="shared" ca="1" si="7"/>
        <v>46115</v>
      </c>
      <c r="J96" t="str">
        <f t="shared" ca="1" si="8"/>
        <v/>
      </c>
      <c r="L96" t="str">
        <f t="shared" si="9"/>
        <v>Hello , your loan of UGX  is due on 00-Jan-1900. Please clear to avoid penalty.</v>
      </c>
    </row>
    <row r="97" spans="4:12" x14ac:dyDescent="0.35">
      <c r="D97">
        <f t="shared" si="5"/>
        <v>0</v>
      </c>
      <c r="E97">
        <f t="shared" si="6"/>
        <v>0</v>
      </c>
      <c r="H97">
        <f t="shared" ca="1" si="7"/>
        <v>46115</v>
      </c>
      <c r="J97" t="str">
        <f t="shared" ca="1" si="8"/>
        <v/>
      </c>
      <c r="L97" t="str">
        <f t="shared" si="9"/>
        <v>Hello , your loan of UGX  is due on 00-Jan-1900. Please clear to avoid penalty.</v>
      </c>
    </row>
    <row r="98" spans="4:12" x14ac:dyDescent="0.35">
      <c r="D98">
        <f t="shared" si="5"/>
        <v>0</v>
      </c>
      <c r="E98">
        <f t="shared" si="6"/>
        <v>0</v>
      </c>
      <c r="H98">
        <f t="shared" ca="1" si="7"/>
        <v>46115</v>
      </c>
      <c r="J98" t="str">
        <f t="shared" ca="1" si="8"/>
        <v/>
      </c>
      <c r="L98" t="str">
        <f t="shared" si="9"/>
        <v>Hello , your loan of UGX  is due on 00-Jan-1900. Please clear to avoid penalty.</v>
      </c>
    </row>
    <row r="99" spans="4:12" x14ac:dyDescent="0.35">
      <c r="D99">
        <f t="shared" si="5"/>
        <v>0</v>
      </c>
      <c r="E99">
        <f t="shared" si="6"/>
        <v>0</v>
      </c>
      <c r="H99">
        <f t="shared" ca="1" si="7"/>
        <v>46115</v>
      </c>
      <c r="J99" t="str">
        <f t="shared" ca="1" si="8"/>
        <v/>
      </c>
      <c r="L99" t="str">
        <f t="shared" si="9"/>
        <v>Hello , your loan of UGX  is due on 00-Jan-1900. Please clear to avoid penalty.</v>
      </c>
    </row>
    <row r="100" spans="4:12" x14ac:dyDescent="0.35">
      <c r="D100">
        <f t="shared" si="5"/>
        <v>0</v>
      </c>
      <c r="E100">
        <f t="shared" si="6"/>
        <v>0</v>
      </c>
      <c r="H100">
        <f t="shared" ca="1" si="7"/>
        <v>46115</v>
      </c>
      <c r="J100" t="str">
        <f t="shared" ca="1" si="8"/>
        <v/>
      </c>
      <c r="L100" t="str">
        <f t="shared" si="9"/>
        <v>Hello , your loan of UGX  is due on 00-Jan-1900. Please clear to avoid penalty.</v>
      </c>
    </row>
    <row r="101" spans="4:12" x14ac:dyDescent="0.35">
      <c r="D101">
        <f t="shared" si="5"/>
        <v>0</v>
      </c>
      <c r="E101">
        <f t="shared" si="6"/>
        <v>0</v>
      </c>
      <c r="H101">
        <f t="shared" ca="1" si="7"/>
        <v>46115</v>
      </c>
      <c r="J101" t="str">
        <f t="shared" ca="1" si="8"/>
        <v/>
      </c>
      <c r="L101" t="str">
        <f t="shared" si="9"/>
        <v>Hello , your loan of UGX  is due on 00-Jan-1900. Please clear to avoid penalty.</v>
      </c>
    </row>
    <row r="102" spans="4:12" x14ac:dyDescent="0.35">
      <c r="D102">
        <f t="shared" si="5"/>
        <v>0</v>
      </c>
      <c r="E102">
        <f t="shared" si="6"/>
        <v>0</v>
      </c>
      <c r="H102">
        <f t="shared" ca="1" si="7"/>
        <v>46115</v>
      </c>
      <c r="J102" t="str">
        <f t="shared" ca="1" si="8"/>
        <v/>
      </c>
      <c r="L102" t="str">
        <f t="shared" si="9"/>
        <v>Hello , your loan of UGX  is due on 00-Jan-1900. Please clear to avoid penalty.</v>
      </c>
    </row>
    <row r="103" spans="4:12" x14ac:dyDescent="0.35">
      <c r="D103">
        <f t="shared" si="5"/>
        <v>0</v>
      </c>
      <c r="E103">
        <f t="shared" si="6"/>
        <v>0</v>
      </c>
      <c r="H103">
        <f t="shared" ca="1" si="7"/>
        <v>46115</v>
      </c>
      <c r="J103" t="str">
        <f t="shared" ca="1" si="8"/>
        <v/>
      </c>
      <c r="L103" t="str">
        <f t="shared" si="9"/>
        <v>Hello , your loan of UGX  is due on 00-Jan-1900. Please clear to avoid penalty.</v>
      </c>
    </row>
    <row r="104" spans="4:12" x14ac:dyDescent="0.35">
      <c r="D104">
        <f t="shared" si="5"/>
        <v>0</v>
      </c>
      <c r="E104">
        <f t="shared" si="6"/>
        <v>0</v>
      </c>
      <c r="H104">
        <f t="shared" ca="1" si="7"/>
        <v>46115</v>
      </c>
      <c r="J104" t="str">
        <f t="shared" ca="1" si="8"/>
        <v/>
      </c>
      <c r="L104" t="str">
        <f t="shared" si="9"/>
        <v>Hello , your loan of UGX  is due on 00-Jan-1900. Please clear to avoid penalty.</v>
      </c>
    </row>
    <row r="105" spans="4:12" x14ac:dyDescent="0.35">
      <c r="D105">
        <f t="shared" si="5"/>
        <v>0</v>
      </c>
      <c r="E105">
        <f t="shared" si="6"/>
        <v>0</v>
      </c>
      <c r="H105">
        <f t="shared" ca="1" si="7"/>
        <v>46115</v>
      </c>
      <c r="J105" t="str">
        <f t="shared" ca="1" si="8"/>
        <v/>
      </c>
      <c r="L105" t="str">
        <f t="shared" si="9"/>
        <v>Hello , your loan of UGX  is due on 00-Jan-1900. Please clear to avoid penalty.</v>
      </c>
    </row>
    <row r="106" spans="4:12" x14ac:dyDescent="0.35">
      <c r="D106">
        <f t="shared" si="5"/>
        <v>0</v>
      </c>
      <c r="E106">
        <f t="shared" si="6"/>
        <v>0</v>
      </c>
      <c r="H106">
        <f t="shared" ca="1" si="7"/>
        <v>46115</v>
      </c>
      <c r="J106" t="str">
        <f t="shared" ca="1" si="8"/>
        <v/>
      </c>
      <c r="L106" t="str">
        <f t="shared" si="9"/>
        <v>Hello , your loan of UGX  is due on 00-Jan-1900. Please clear to avoid penalty.</v>
      </c>
    </row>
    <row r="107" spans="4:12" x14ac:dyDescent="0.35">
      <c r="D107">
        <f t="shared" si="5"/>
        <v>0</v>
      </c>
      <c r="E107">
        <f t="shared" si="6"/>
        <v>0</v>
      </c>
      <c r="H107">
        <f t="shared" ca="1" si="7"/>
        <v>46115</v>
      </c>
      <c r="J107" t="str">
        <f t="shared" ca="1" si="8"/>
        <v/>
      </c>
      <c r="L107" t="str">
        <f t="shared" si="9"/>
        <v>Hello , your loan of UGX  is due on 00-Jan-1900. Please clear to avoid penalty.</v>
      </c>
    </row>
    <row r="108" spans="4:12" x14ac:dyDescent="0.35">
      <c r="D108">
        <f t="shared" si="5"/>
        <v>0</v>
      </c>
      <c r="E108">
        <f t="shared" si="6"/>
        <v>0</v>
      </c>
      <c r="H108">
        <f t="shared" ca="1" si="7"/>
        <v>46115</v>
      </c>
      <c r="J108" t="str">
        <f t="shared" ca="1" si="8"/>
        <v/>
      </c>
      <c r="L108" t="str">
        <f t="shared" si="9"/>
        <v>Hello , your loan of UGX  is due on 00-Jan-1900. Please clear to avoid penalty.</v>
      </c>
    </row>
    <row r="109" spans="4:12" x14ac:dyDescent="0.35">
      <c r="D109">
        <f t="shared" si="5"/>
        <v>0</v>
      </c>
      <c r="E109">
        <f t="shared" si="6"/>
        <v>0</v>
      </c>
      <c r="H109">
        <f t="shared" ca="1" si="7"/>
        <v>46115</v>
      </c>
      <c r="J109" t="str">
        <f t="shared" ca="1" si="8"/>
        <v/>
      </c>
      <c r="L109" t="str">
        <f t="shared" si="9"/>
        <v>Hello , your loan of UGX  is due on 00-Jan-1900. Please clear to avoid penalty.</v>
      </c>
    </row>
    <row r="110" spans="4:12" x14ac:dyDescent="0.35">
      <c r="D110">
        <f t="shared" si="5"/>
        <v>0</v>
      </c>
      <c r="E110">
        <f t="shared" si="6"/>
        <v>0</v>
      </c>
      <c r="H110">
        <f t="shared" ca="1" si="7"/>
        <v>46115</v>
      </c>
      <c r="J110" t="str">
        <f t="shared" ca="1" si="8"/>
        <v/>
      </c>
      <c r="L110" t="str">
        <f t="shared" si="9"/>
        <v>Hello , your loan of UGX  is due on 00-Jan-1900. Please clear to avoid penalty.</v>
      </c>
    </row>
    <row r="111" spans="4:12" x14ac:dyDescent="0.35">
      <c r="D111">
        <f t="shared" si="5"/>
        <v>0</v>
      </c>
      <c r="E111">
        <f t="shared" si="6"/>
        <v>0</v>
      </c>
      <c r="H111">
        <f t="shared" ca="1" si="7"/>
        <v>46115</v>
      </c>
      <c r="J111" t="str">
        <f t="shared" ca="1" si="8"/>
        <v/>
      </c>
      <c r="L111" t="str">
        <f t="shared" si="9"/>
        <v>Hello , your loan of UGX  is due on 00-Jan-1900. Please clear to avoid penalty.</v>
      </c>
    </row>
    <row r="112" spans="4:12" x14ac:dyDescent="0.35">
      <c r="D112">
        <f t="shared" si="5"/>
        <v>0</v>
      </c>
      <c r="E112">
        <f t="shared" si="6"/>
        <v>0</v>
      </c>
      <c r="H112">
        <f t="shared" ca="1" si="7"/>
        <v>46115</v>
      </c>
      <c r="J112" t="str">
        <f t="shared" ca="1" si="8"/>
        <v/>
      </c>
      <c r="L112" t="str">
        <f t="shared" si="9"/>
        <v>Hello , your loan of UGX  is due on 00-Jan-1900. Please clear to avoid penalty.</v>
      </c>
    </row>
    <row r="113" spans="4:12" x14ac:dyDescent="0.35">
      <c r="D113">
        <f t="shared" ref="D113:D176" si="10">C113*0.4</f>
        <v>0</v>
      </c>
      <c r="E113">
        <f t="shared" ref="E113:E176" si="11">C113+D113</f>
        <v>0</v>
      </c>
      <c r="H113">
        <f t="shared" ref="H113:H176" ca="1" si="12">IF(TODAY()&gt;G113, TODAY()-G113, 0)</f>
        <v>46115</v>
      </c>
      <c r="J113" t="str">
        <f t="shared" ref="J113:J176" ca="1" si="13">IF(J113="Closed","Closed",IF(TODAY()&gt;G113,"Late",IF(TODAY()=G113,"Due Today","Active")))</f>
        <v/>
      </c>
      <c r="L113" t="str">
        <f t="shared" ref="L113:L176" si="14">"Hello "&amp;A113&amp;", your loan of UGX "&amp;C113&amp;" is due on "&amp;TEXT(G113,"dd-mmm-yyyy")&amp;". Please clear to avoid penalty."</f>
        <v>Hello , your loan of UGX  is due on 00-Jan-1900. Please clear to avoid penalty.</v>
      </c>
    </row>
    <row r="114" spans="4:12" x14ac:dyDescent="0.35">
      <c r="D114">
        <f t="shared" si="10"/>
        <v>0</v>
      </c>
      <c r="E114">
        <f t="shared" si="11"/>
        <v>0</v>
      </c>
      <c r="H114">
        <f t="shared" ca="1" si="12"/>
        <v>46115</v>
      </c>
      <c r="J114" t="str">
        <f t="shared" ca="1" si="13"/>
        <v/>
      </c>
      <c r="L114" t="str">
        <f t="shared" si="14"/>
        <v>Hello , your loan of UGX  is due on 00-Jan-1900. Please clear to avoid penalty.</v>
      </c>
    </row>
    <row r="115" spans="4:12" x14ac:dyDescent="0.35">
      <c r="D115">
        <f t="shared" si="10"/>
        <v>0</v>
      </c>
      <c r="E115">
        <f t="shared" si="11"/>
        <v>0</v>
      </c>
      <c r="H115">
        <f t="shared" ca="1" si="12"/>
        <v>46115</v>
      </c>
      <c r="J115" t="str">
        <f t="shared" ca="1" si="13"/>
        <v/>
      </c>
      <c r="L115" t="str">
        <f t="shared" si="14"/>
        <v>Hello , your loan of UGX  is due on 00-Jan-1900. Please clear to avoid penalty.</v>
      </c>
    </row>
    <row r="116" spans="4:12" x14ac:dyDescent="0.35">
      <c r="D116">
        <f t="shared" si="10"/>
        <v>0</v>
      </c>
      <c r="E116">
        <f t="shared" si="11"/>
        <v>0</v>
      </c>
      <c r="H116">
        <f t="shared" ca="1" si="12"/>
        <v>46115</v>
      </c>
      <c r="J116" t="str">
        <f t="shared" ca="1" si="13"/>
        <v/>
      </c>
      <c r="L116" t="str">
        <f t="shared" si="14"/>
        <v>Hello , your loan of UGX  is due on 00-Jan-1900. Please clear to avoid penalty.</v>
      </c>
    </row>
    <row r="117" spans="4:12" x14ac:dyDescent="0.35">
      <c r="D117">
        <f t="shared" si="10"/>
        <v>0</v>
      </c>
      <c r="E117">
        <f t="shared" si="11"/>
        <v>0</v>
      </c>
      <c r="H117">
        <f t="shared" ca="1" si="12"/>
        <v>46115</v>
      </c>
      <c r="J117" t="str">
        <f t="shared" ca="1" si="13"/>
        <v/>
      </c>
      <c r="L117" t="str">
        <f t="shared" si="14"/>
        <v>Hello , your loan of UGX  is due on 00-Jan-1900. Please clear to avoid penalty.</v>
      </c>
    </row>
    <row r="118" spans="4:12" x14ac:dyDescent="0.35">
      <c r="D118">
        <f t="shared" si="10"/>
        <v>0</v>
      </c>
      <c r="E118">
        <f t="shared" si="11"/>
        <v>0</v>
      </c>
      <c r="H118">
        <f t="shared" ca="1" si="12"/>
        <v>46115</v>
      </c>
      <c r="J118" t="str">
        <f t="shared" ca="1" si="13"/>
        <v/>
      </c>
      <c r="L118" t="str">
        <f t="shared" si="14"/>
        <v>Hello , your loan of UGX  is due on 00-Jan-1900. Please clear to avoid penalty.</v>
      </c>
    </row>
    <row r="119" spans="4:12" x14ac:dyDescent="0.35">
      <c r="D119">
        <f t="shared" si="10"/>
        <v>0</v>
      </c>
      <c r="E119">
        <f t="shared" si="11"/>
        <v>0</v>
      </c>
      <c r="H119">
        <f t="shared" ca="1" si="12"/>
        <v>46115</v>
      </c>
      <c r="J119" t="str">
        <f t="shared" ca="1" si="13"/>
        <v/>
      </c>
      <c r="L119" t="str">
        <f t="shared" si="14"/>
        <v>Hello , your loan of UGX  is due on 00-Jan-1900. Please clear to avoid penalty.</v>
      </c>
    </row>
    <row r="120" spans="4:12" x14ac:dyDescent="0.35">
      <c r="D120">
        <f t="shared" si="10"/>
        <v>0</v>
      </c>
      <c r="E120">
        <f t="shared" si="11"/>
        <v>0</v>
      </c>
      <c r="H120">
        <f t="shared" ca="1" si="12"/>
        <v>46115</v>
      </c>
      <c r="J120" t="str">
        <f t="shared" ca="1" si="13"/>
        <v/>
      </c>
      <c r="L120" t="str">
        <f t="shared" si="14"/>
        <v>Hello , your loan of UGX  is due on 00-Jan-1900. Please clear to avoid penalty.</v>
      </c>
    </row>
    <row r="121" spans="4:12" x14ac:dyDescent="0.35">
      <c r="D121">
        <f t="shared" si="10"/>
        <v>0</v>
      </c>
      <c r="E121">
        <f t="shared" si="11"/>
        <v>0</v>
      </c>
      <c r="H121">
        <f t="shared" ca="1" si="12"/>
        <v>46115</v>
      </c>
      <c r="J121" t="str">
        <f t="shared" ca="1" si="13"/>
        <v/>
      </c>
      <c r="L121" t="str">
        <f t="shared" si="14"/>
        <v>Hello , your loan of UGX  is due on 00-Jan-1900. Please clear to avoid penalty.</v>
      </c>
    </row>
    <row r="122" spans="4:12" x14ac:dyDescent="0.35">
      <c r="D122">
        <f t="shared" si="10"/>
        <v>0</v>
      </c>
      <c r="E122">
        <f t="shared" si="11"/>
        <v>0</v>
      </c>
      <c r="H122">
        <f t="shared" ca="1" si="12"/>
        <v>46115</v>
      </c>
      <c r="J122" t="str">
        <f t="shared" ca="1" si="13"/>
        <v/>
      </c>
      <c r="L122" t="str">
        <f t="shared" si="14"/>
        <v>Hello , your loan of UGX  is due on 00-Jan-1900. Please clear to avoid penalty.</v>
      </c>
    </row>
    <row r="123" spans="4:12" x14ac:dyDescent="0.35">
      <c r="D123">
        <f t="shared" si="10"/>
        <v>0</v>
      </c>
      <c r="E123">
        <f t="shared" si="11"/>
        <v>0</v>
      </c>
      <c r="H123">
        <f t="shared" ca="1" si="12"/>
        <v>46115</v>
      </c>
      <c r="J123" t="str">
        <f t="shared" ca="1" si="13"/>
        <v/>
      </c>
      <c r="L123" t="str">
        <f t="shared" si="14"/>
        <v>Hello , your loan of UGX  is due on 00-Jan-1900. Please clear to avoid penalty.</v>
      </c>
    </row>
    <row r="124" spans="4:12" x14ac:dyDescent="0.35">
      <c r="D124">
        <f t="shared" si="10"/>
        <v>0</v>
      </c>
      <c r="E124">
        <f t="shared" si="11"/>
        <v>0</v>
      </c>
      <c r="H124">
        <f t="shared" ca="1" si="12"/>
        <v>46115</v>
      </c>
      <c r="J124" t="str">
        <f t="shared" ca="1" si="13"/>
        <v/>
      </c>
      <c r="L124" t="str">
        <f t="shared" si="14"/>
        <v>Hello , your loan of UGX  is due on 00-Jan-1900. Please clear to avoid penalty.</v>
      </c>
    </row>
    <row r="125" spans="4:12" x14ac:dyDescent="0.35">
      <c r="D125">
        <f t="shared" si="10"/>
        <v>0</v>
      </c>
      <c r="E125">
        <f t="shared" si="11"/>
        <v>0</v>
      </c>
      <c r="H125">
        <f t="shared" ca="1" si="12"/>
        <v>46115</v>
      </c>
      <c r="J125" t="str">
        <f t="shared" ca="1" si="13"/>
        <v/>
      </c>
      <c r="L125" t="str">
        <f t="shared" si="14"/>
        <v>Hello , your loan of UGX  is due on 00-Jan-1900. Please clear to avoid penalty.</v>
      </c>
    </row>
    <row r="126" spans="4:12" x14ac:dyDescent="0.35">
      <c r="D126">
        <f t="shared" si="10"/>
        <v>0</v>
      </c>
      <c r="E126">
        <f t="shared" si="11"/>
        <v>0</v>
      </c>
      <c r="H126">
        <f t="shared" ca="1" si="12"/>
        <v>46115</v>
      </c>
      <c r="J126" t="str">
        <f t="shared" ca="1" si="13"/>
        <v/>
      </c>
      <c r="L126" t="str">
        <f t="shared" si="14"/>
        <v>Hello , your loan of UGX  is due on 00-Jan-1900. Please clear to avoid penalty.</v>
      </c>
    </row>
    <row r="127" spans="4:12" x14ac:dyDescent="0.35">
      <c r="D127">
        <f t="shared" si="10"/>
        <v>0</v>
      </c>
      <c r="E127">
        <f t="shared" si="11"/>
        <v>0</v>
      </c>
      <c r="H127">
        <f t="shared" ca="1" si="12"/>
        <v>46115</v>
      </c>
      <c r="J127" t="str">
        <f t="shared" ca="1" si="13"/>
        <v/>
      </c>
      <c r="L127" t="str">
        <f t="shared" si="14"/>
        <v>Hello , your loan of UGX  is due on 00-Jan-1900. Please clear to avoid penalty.</v>
      </c>
    </row>
    <row r="128" spans="4:12" x14ac:dyDescent="0.35">
      <c r="D128">
        <f t="shared" si="10"/>
        <v>0</v>
      </c>
      <c r="E128">
        <f t="shared" si="11"/>
        <v>0</v>
      </c>
      <c r="H128">
        <f t="shared" ca="1" si="12"/>
        <v>46115</v>
      </c>
      <c r="J128" t="str">
        <f t="shared" ca="1" si="13"/>
        <v/>
      </c>
      <c r="L128" t="str">
        <f t="shared" si="14"/>
        <v>Hello , your loan of UGX  is due on 00-Jan-1900. Please clear to avoid penalty.</v>
      </c>
    </row>
    <row r="129" spans="4:12" x14ac:dyDescent="0.35">
      <c r="D129">
        <f t="shared" si="10"/>
        <v>0</v>
      </c>
      <c r="E129">
        <f t="shared" si="11"/>
        <v>0</v>
      </c>
      <c r="H129">
        <f t="shared" ca="1" si="12"/>
        <v>46115</v>
      </c>
      <c r="J129" t="str">
        <f t="shared" ca="1" si="13"/>
        <v/>
      </c>
      <c r="L129" t="str">
        <f t="shared" si="14"/>
        <v>Hello , your loan of UGX  is due on 00-Jan-1900. Please clear to avoid penalty.</v>
      </c>
    </row>
    <row r="130" spans="4:12" x14ac:dyDescent="0.35">
      <c r="D130">
        <f t="shared" si="10"/>
        <v>0</v>
      </c>
      <c r="E130">
        <f t="shared" si="11"/>
        <v>0</v>
      </c>
      <c r="H130">
        <f t="shared" ca="1" si="12"/>
        <v>46115</v>
      </c>
      <c r="J130" t="str">
        <f t="shared" ca="1" si="13"/>
        <v/>
      </c>
      <c r="L130" t="str">
        <f t="shared" si="14"/>
        <v>Hello , your loan of UGX  is due on 00-Jan-1900. Please clear to avoid penalty.</v>
      </c>
    </row>
    <row r="131" spans="4:12" x14ac:dyDescent="0.35">
      <c r="D131">
        <f t="shared" si="10"/>
        <v>0</v>
      </c>
      <c r="E131">
        <f t="shared" si="11"/>
        <v>0</v>
      </c>
      <c r="H131">
        <f t="shared" ca="1" si="12"/>
        <v>46115</v>
      </c>
      <c r="J131" t="str">
        <f t="shared" ca="1" si="13"/>
        <v/>
      </c>
      <c r="L131" t="str">
        <f t="shared" si="14"/>
        <v>Hello , your loan of UGX  is due on 00-Jan-1900. Please clear to avoid penalty.</v>
      </c>
    </row>
    <row r="132" spans="4:12" x14ac:dyDescent="0.35">
      <c r="D132">
        <f t="shared" si="10"/>
        <v>0</v>
      </c>
      <c r="E132">
        <f t="shared" si="11"/>
        <v>0</v>
      </c>
      <c r="H132">
        <f t="shared" ca="1" si="12"/>
        <v>46115</v>
      </c>
      <c r="J132" t="str">
        <f t="shared" ca="1" si="13"/>
        <v/>
      </c>
      <c r="L132" t="str">
        <f t="shared" si="14"/>
        <v>Hello , your loan of UGX  is due on 00-Jan-1900. Please clear to avoid penalty.</v>
      </c>
    </row>
    <row r="133" spans="4:12" x14ac:dyDescent="0.35">
      <c r="D133">
        <f t="shared" si="10"/>
        <v>0</v>
      </c>
      <c r="E133">
        <f t="shared" si="11"/>
        <v>0</v>
      </c>
      <c r="H133">
        <f t="shared" ca="1" si="12"/>
        <v>46115</v>
      </c>
      <c r="J133" t="str">
        <f t="shared" ca="1" si="13"/>
        <v/>
      </c>
      <c r="L133" t="str">
        <f t="shared" si="14"/>
        <v>Hello , your loan of UGX  is due on 00-Jan-1900. Please clear to avoid penalty.</v>
      </c>
    </row>
    <row r="134" spans="4:12" x14ac:dyDescent="0.35">
      <c r="D134">
        <f t="shared" si="10"/>
        <v>0</v>
      </c>
      <c r="E134">
        <f t="shared" si="11"/>
        <v>0</v>
      </c>
      <c r="H134">
        <f t="shared" ca="1" si="12"/>
        <v>46115</v>
      </c>
      <c r="J134" t="str">
        <f t="shared" ca="1" si="13"/>
        <v/>
      </c>
      <c r="L134" t="str">
        <f t="shared" si="14"/>
        <v>Hello , your loan of UGX  is due on 00-Jan-1900. Please clear to avoid penalty.</v>
      </c>
    </row>
    <row r="135" spans="4:12" x14ac:dyDescent="0.35">
      <c r="D135">
        <f t="shared" si="10"/>
        <v>0</v>
      </c>
      <c r="E135">
        <f t="shared" si="11"/>
        <v>0</v>
      </c>
      <c r="H135">
        <f t="shared" ca="1" si="12"/>
        <v>46115</v>
      </c>
      <c r="J135" t="str">
        <f t="shared" ca="1" si="13"/>
        <v/>
      </c>
      <c r="L135" t="str">
        <f t="shared" si="14"/>
        <v>Hello , your loan of UGX  is due on 00-Jan-1900. Please clear to avoid penalty.</v>
      </c>
    </row>
    <row r="136" spans="4:12" x14ac:dyDescent="0.35">
      <c r="D136">
        <f t="shared" si="10"/>
        <v>0</v>
      </c>
      <c r="E136">
        <f t="shared" si="11"/>
        <v>0</v>
      </c>
      <c r="H136">
        <f t="shared" ca="1" si="12"/>
        <v>46115</v>
      </c>
      <c r="J136" t="str">
        <f t="shared" ca="1" si="13"/>
        <v/>
      </c>
      <c r="L136" t="str">
        <f t="shared" si="14"/>
        <v>Hello , your loan of UGX  is due on 00-Jan-1900. Please clear to avoid penalty.</v>
      </c>
    </row>
    <row r="137" spans="4:12" x14ac:dyDescent="0.35">
      <c r="D137">
        <f t="shared" si="10"/>
        <v>0</v>
      </c>
      <c r="E137">
        <f t="shared" si="11"/>
        <v>0</v>
      </c>
      <c r="H137">
        <f t="shared" ca="1" si="12"/>
        <v>46115</v>
      </c>
      <c r="J137" t="str">
        <f t="shared" ca="1" si="13"/>
        <v/>
      </c>
      <c r="L137" t="str">
        <f t="shared" si="14"/>
        <v>Hello , your loan of UGX  is due on 00-Jan-1900. Please clear to avoid penalty.</v>
      </c>
    </row>
    <row r="138" spans="4:12" x14ac:dyDescent="0.35">
      <c r="D138">
        <f t="shared" si="10"/>
        <v>0</v>
      </c>
      <c r="E138">
        <f t="shared" si="11"/>
        <v>0</v>
      </c>
      <c r="H138">
        <f t="shared" ca="1" si="12"/>
        <v>46115</v>
      </c>
      <c r="J138" t="str">
        <f t="shared" ca="1" si="13"/>
        <v/>
      </c>
      <c r="L138" t="str">
        <f t="shared" si="14"/>
        <v>Hello , your loan of UGX  is due on 00-Jan-1900. Please clear to avoid penalty.</v>
      </c>
    </row>
    <row r="139" spans="4:12" x14ac:dyDescent="0.35">
      <c r="D139">
        <f t="shared" si="10"/>
        <v>0</v>
      </c>
      <c r="E139">
        <f t="shared" si="11"/>
        <v>0</v>
      </c>
      <c r="H139">
        <f t="shared" ca="1" si="12"/>
        <v>46115</v>
      </c>
      <c r="J139" t="str">
        <f t="shared" ca="1" si="13"/>
        <v/>
      </c>
      <c r="L139" t="str">
        <f t="shared" si="14"/>
        <v>Hello , your loan of UGX  is due on 00-Jan-1900. Please clear to avoid penalty.</v>
      </c>
    </row>
    <row r="140" spans="4:12" x14ac:dyDescent="0.35">
      <c r="D140">
        <f t="shared" si="10"/>
        <v>0</v>
      </c>
      <c r="E140">
        <f t="shared" si="11"/>
        <v>0</v>
      </c>
      <c r="H140">
        <f t="shared" ca="1" si="12"/>
        <v>46115</v>
      </c>
      <c r="J140" t="str">
        <f t="shared" ca="1" si="13"/>
        <v/>
      </c>
      <c r="L140" t="str">
        <f t="shared" si="14"/>
        <v>Hello , your loan of UGX  is due on 00-Jan-1900. Please clear to avoid penalty.</v>
      </c>
    </row>
    <row r="141" spans="4:12" x14ac:dyDescent="0.35">
      <c r="D141">
        <f t="shared" si="10"/>
        <v>0</v>
      </c>
      <c r="E141">
        <f t="shared" si="11"/>
        <v>0</v>
      </c>
      <c r="H141">
        <f t="shared" ca="1" si="12"/>
        <v>46115</v>
      </c>
      <c r="J141" t="str">
        <f t="shared" ca="1" si="13"/>
        <v/>
      </c>
      <c r="L141" t="str">
        <f t="shared" si="14"/>
        <v>Hello , your loan of UGX  is due on 00-Jan-1900. Please clear to avoid penalty.</v>
      </c>
    </row>
    <row r="142" spans="4:12" x14ac:dyDescent="0.35">
      <c r="D142">
        <f t="shared" si="10"/>
        <v>0</v>
      </c>
      <c r="E142">
        <f t="shared" si="11"/>
        <v>0</v>
      </c>
      <c r="H142">
        <f t="shared" ca="1" si="12"/>
        <v>46115</v>
      </c>
      <c r="J142" t="str">
        <f t="shared" ca="1" si="13"/>
        <v/>
      </c>
      <c r="L142" t="str">
        <f t="shared" si="14"/>
        <v>Hello , your loan of UGX  is due on 00-Jan-1900. Please clear to avoid penalty.</v>
      </c>
    </row>
    <row r="143" spans="4:12" x14ac:dyDescent="0.35">
      <c r="D143">
        <f t="shared" si="10"/>
        <v>0</v>
      </c>
      <c r="E143">
        <f t="shared" si="11"/>
        <v>0</v>
      </c>
      <c r="H143">
        <f t="shared" ca="1" si="12"/>
        <v>46115</v>
      </c>
      <c r="J143" t="str">
        <f t="shared" ca="1" si="13"/>
        <v/>
      </c>
      <c r="L143" t="str">
        <f t="shared" si="14"/>
        <v>Hello , your loan of UGX  is due on 00-Jan-1900. Please clear to avoid penalty.</v>
      </c>
    </row>
    <row r="144" spans="4:12" x14ac:dyDescent="0.35">
      <c r="D144">
        <f t="shared" si="10"/>
        <v>0</v>
      </c>
      <c r="E144">
        <f t="shared" si="11"/>
        <v>0</v>
      </c>
      <c r="H144">
        <f t="shared" ca="1" si="12"/>
        <v>46115</v>
      </c>
      <c r="J144" t="str">
        <f t="shared" ca="1" si="13"/>
        <v/>
      </c>
      <c r="L144" t="str">
        <f t="shared" si="14"/>
        <v>Hello , your loan of UGX  is due on 00-Jan-1900. Please clear to avoid penalty.</v>
      </c>
    </row>
    <row r="145" spans="4:12" x14ac:dyDescent="0.35">
      <c r="D145">
        <f t="shared" si="10"/>
        <v>0</v>
      </c>
      <c r="E145">
        <f t="shared" si="11"/>
        <v>0</v>
      </c>
      <c r="H145">
        <f t="shared" ca="1" si="12"/>
        <v>46115</v>
      </c>
      <c r="J145" t="str">
        <f t="shared" ca="1" si="13"/>
        <v/>
      </c>
      <c r="L145" t="str">
        <f t="shared" si="14"/>
        <v>Hello , your loan of UGX  is due on 00-Jan-1900. Please clear to avoid penalty.</v>
      </c>
    </row>
    <row r="146" spans="4:12" x14ac:dyDescent="0.35">
      <c r="D146">
        <f t="shared" si="10"/>
        <v>0</v>
      </c>
      <c r="E146">
        <f t="shared" si="11"/>
        <v>0</v>
      </c>
      <c r="H146">
        <f t="shared" ca="1" si="12"/>
        <v>46115</v>
      </c>
      <c r="J146" t="str">
        <f t="shared" ca="1" si="13"/>
        <v/>
      </c>
      <c r="L146" t="str">
        <f t="shared" si="14"/>
        <v>Hello , your loan of UGX  is due on 00-Jan-1900. Please clear to avoid penalty.</v>
      </c>
    </row>
    <row r="147" spans="4:12" x14ac:dyDescent="0.35">
      <c r="D147">
        <f t="shared" si="10"/>
        <v>0</v>
      </c>
      <c r="E147">
        <f t="shared" si="11"/>
        <v>0</v>
      </c>
      <c r="H147">
        <f t="shared" ca="1" si="12"/>
        <v>46115</v>
      </c>
      <c r="J147" t="str">
        <f t="shared" ca="1" si="13"/>
        <v/>
      </c>
      <c r="L147" t="str">
        <f t="shared" si="14"/>
        <v>Hello , your loan of UGX  is due on 00-Jan-1900. Please clear to avoid penalty.</v>
      </c>
    </row>
    <row r="148" spans="4:12" x14ac:dyDescent="0.35">
      <c r="D148">
        <f t="shared" si="10"/>
        <v>0</v>
      </c>
      <c r="E148">
        <f t="shared" si="11"/>
        <v>0</v>
      </c>
      <c r="H148">
        <f t="shared" ca="1" si="12"/>
        <v>46115</v>
      </c>
      <c r="J148" t="str">
        <f t="shared" ca="1" si="13"/>
        <v/>
      </c>
      <c r="L148" t="str">
        <f t="shared" si="14"/>
        <v>Hello , your loan of UGX  is due on 00-Jan-1900. Please clear to avoid penalty.</v>
      </c>
    </row>
    <row r="149" spans="4:12" x14ac:dyDescent="0.35">
      <c r="D149">
        <f t="shared" si="10"/>
        <v>0</v>
      </c>
      <c r="E149">
        <f t="shared" si="11"/>
        <v>0</v>
      </c>
      <c r="H149">
        <f t="shared" ca="1" si="12"/>
        <v>46115</v>
      </c>
      <c r="J149" t="str">
        <f t="shared" ca="1" si="13"/>
        <v/>
      </c>
      <c r="L149" t="str">
        <f t="shared" si="14"/>
        <v>Hello , your loan of UGX  is due on 00-Jan-1900. Please clear to avoid penalty.</v>
      </c>
    </row>
    <row r="150" spans="4:12" x14ac:dyDescent="0.35">
      <c r="D150">
        <f t="shared" si="10"/>
        <v>0</v>
      </c>
      <c r="E150">
        <f t="shared" si="11"/>
        <v>0</v>
      </c>
      <c r="H150">
        <f t="shared" ca="1" si="12"/>
        <v>46115</v>
      </c>
      <c r="J150" t="str">
        <f t="shared" ca="1" si="13"/>
        <v/>
      </c>
      <c r="L150" t="str">
        <f t="shared" si="14"/>
        <v>Hello , your loan of UGX  is due on 00-Jan-1900. Please clear to avoid penalty.</v>
      </c>
    </row>
    <row r="151" spans="4:12" x14ac:dyDescent="0.35">
      <c r="D151">
        <f t="shared" si="10"/>
        <v>0</v>
      </c>
      <c r="E151">
        <f t="shared" si="11"/>
        <v>0</v>
      </c>
      <c r="H151">
        <f t="shared" ca="1" si="12"/>
        <v>46115</v>
      </c>
      <c r="J151" t="str">
        <f t="shared" ca="1" si="13"/>
        <v/>
      </c>
      <c r="L151" t="str">
        <f t="shared" si="14"/>
        <v>Hello , your loan of UGX  is due on 00-Jan-1900. Please clear to avoid penalty.</v>
      </c>
    </row>
    <row r="152" spans="4:12" x14ac:dyDescent="0.35">
      <c r="D152">
        <f t="shared" si="10"/>
        <v>0</v>
      </c>
      <c r="E152">
        <f t="shared" si="11"/>
        <v>0</v>
      </c>
      <c r="H152">
        <f t="shared" ca="1" si="12"/>
        <v>46115</v>
      </c>
      <c r="J152" t="str">
        <f t="shared" ca="1" si="13"/>
        <v/>
      </c>
      <c r="L152" t="str">
        <f t="shared" si="14"/>
        <v>Hello , your loan of UGX  is due on 00-Jan-1900. Please clear to avoid penalty.</v>
      </c>
    </row>
    <row r="153" spans="4:12" x14ac:dyDescent="0.35">
      <c r="D153">
        <f t="shared" si="10"/>
        <v>0</v>
      </c>
      <c r="E153">
        <f t="shared" si="11"/>
        <v>0</v>
      </c>
      <c r="H153">
        <f t="shared" ca="1" si="12"/>
        <v>46115</v>
      </c>
      <c r="J153" t="str">
        <f t="shared" ca="1" si="13"/>
        <v/>
      </c>
      <c r="L153" t="str">
        <f t="shared" si="14"/>
        <v>Hello , your loan of UGX  is due on 00-Jan-1900. Please clear to avoid penalty.</v>
      </c>
    </row>
    <row r="154" spans="4:12" x14ac:dyDescent="0.35">
      <c r="D154">
        <f t="shared" si="10"/>
        <v>0</v>
      </c>
      <c r="E154">
        <f t="shared" si="11"/>
        <v>0</v>
      </c>
      <c r="H154">
        <f t="shared" ca="1" si="12"/>
        <v>46115</v>
      </c>
      <c r="J154" t="str">
        <f t="shared" ca="1" si="13"/>
        <v/>
      </c>
      <c r="L154" t="str">
        <f t="shared" si="14"/>
        <v>Hello , your loan of UGX  is due on 00-Jan-1900. Please clear to avoid penalty.</v>
      </c>
    </row>
    <row r="155" spans="4:12" x14ac:dyDescent="0.35">
      <c r="D155">
        <f t="shared" si="10"/>
        <v>0</v>
      </c>
      <c r="E155">
        <f t="shared" si="11"/>
        <v>0</v>
      </c>
      <c r="H155">
        <f t="shared" ca="1" si="12"/>
        <v>46115</v>
      </c>
      <c r="J155" t="str">
        <f t="shared" ca="1" si="13"/>
        <v/>
      </c>
      <c r="L155" t="str">
        <f t="shared" si="14"/>
        <v>Hello , your loan of UGX  is due on 00-Jan-1900. Please clear to avoid penalty.</v>
      </c>
    </row>
    <row r="156" spans="4:12" x14ac:dyDescent="0.35">
      <c r="D156">
        <f t="shared" si="10"/>
        <v>0</v>
      </c>
      <c r="E156">
        <f t="shared" si="11"/>
        <v>0</v>
      </c>
      <c r="H156">
        <f t="shared" ca="1" si="12"/>
        <v>46115</v>
      </c>
      <c r="J156" t="str">
        <f t="shared" ca="1" si="13"/>
        <v/>
      </c>
      <c r="L156" t="str">
        <f t="shared" si="14"/>
        <v>Hello , your loan of UGX  is due on 00-Jan-1900. Please clear to avoid penalty.</v>
      </c>
    </row>
    <row r="157" spans="4:12" x14ac:dyDescent="0.35">
      <c r="D157">
        <f t="shared" si="10"/>
        <v>0</v>
      </c>
      <c r="E157">
        <f t="shared" si="11"/>
        <v>0</v>
      </c>
      <c r="H157">
        <f t="shared" ca="1" si="12"/>
        <v>46115</v>
      </c>
      <c r="J157" t="str">
        <f t="shared" ca="1" si="13"/>
        <v/>
      </c>
      <c r="L157" t="str">
        <f t="shared" si="14"/>
        <v>Hello , your loan of UGX  is due on 00-Jan-1900. Please clear to avoid penalty.</v>
      </c>
    </row>
    <row r="158" spans="4:12" x14ac:dyDescent="0.35">
      <c r="D158">
        <f t="shared" si="10"/>
        <v>0</v>
      </c>
      <c r="E158">
        <f t="shared" si="11"/>
        <v>0</v>
      </c>
      <c r="H158">
        <f t="shared" ca="1" si="12"/>
        <v>46115</v>
      </c>
      <c r="J158" t="str">
        <f t="shared" ca="1" si="13"/>
        <v/>
      </c>
      <c r="L158" t="str">
        <f t="shared" si="14"/>
        <v>Hello , your loan of UGX  is due on 00-Jan-1900. Please clear to avoid penalty.</v>
      </c>
    </row>
    <row r="159" spans="4:12" x14ac:dyDescent="0.35">
      <c r="D159">
        <f t="shared" si="10"/>
        <v>0</v>
      </c>
      <c r="E159">
        <f t="shared" si="11"/>
        <v>0</v>
      </c>
      <c r="H159">
        <f t="shared" ca="1" si="12"/>
        <v>46115</v>
      </c>
      <c r="J159" t="str">
        <f t="shared" ca="1" si="13"/>
        <v/>
      </c>
      <c r="L159" t="str">
        <f t="shared" si="14"/>
        <v>Hello , your loan of UGX  is due on 00-Jan-1900. Please clear to avoid penalty.</v>
      </c>
    </row>
    <row r="160" spans="4:12" x14ac:dyDescent="0.35">
      <c r="D160">
        <f t="shared" si="10"/>
        <v>0</v>
      </c>
      <c r="E160">
        <f t="shared" si="11"/>
        <v>0</v>
      </c>
      <c r="H160">
        <f t="shared" ca="1" si="12"/>
        <v>46115</v>
      </c>
      <c r="J160" t="str">
        <f t="shared" ca="1" si="13"/>
        <v/>
      </c>
      <c r="L160" t="str">
        <f t="shared" si="14"/>
        <v>Hello , your loan of UGX  is due on 00-Jan-1900. Please clear to avoid penalty.</v>
      </c>
    </row>
    <row r="161" spans="4:12" x14ac:dyDescent="0.35">
      <c r="D161">
        <f t="shared" si="10"/>
        <v>0</v>
      </c>
      <c r="E161">
        <f t="shared" si="11"/>
        <v>0</v>
      </c>
      <c r="H161">
        <f t="shared" ca="1" si="12"/>
        <v>46115</v>
      </c>
      <c r="J161" t="str">
        <f t="shared" ca="1" si="13"/>
        <v/>
      </c>
      <c r="L161" t="str">
        <f t="shared" si="14"/>
        <v>Hello , your loan of UGX  is due on 00-Jan-1900. Please clear to avoid penalty.</v>
      </c>
    </row>
    <row r="162" spans="4:12" x14ac:dyDescent="0.35">
      <c r="D162">
        <f t="shared" si="10"/>
        <v>0</v>
      </c>
      <c r="E162">
        <f t="shared" si="11"/>
        <v>0</v>
      </c>
      <c r="H162">
        <f t="shared" ca="1" si="12"/>
        <v>46115</v>
      </c>
      <c r="J162" t="str">
        <f t="shared" ca="1" si="13"/>
        <v/>
      </c>
      <c r="L162" t="str">
        <f t="shared" si="14"/>
        <v>Hello , your loan of UGX  is due on 00-Jan-1900. Please clear to avoid penalty.</v>
      </c>
    </row>
    <row r="163" spans="4:12" x14ac:dyDescent="0.35">
      <c r="D163">
        <f t="shared" si="10"/>
        <v>0</v>
      </c>
      <c r="E163">
        <f t="shared" si="11"/>
        <v>0</v>
      </c>
      <c r="H163">
        <f t="shared" ca="1" si="12"/>
        <v>46115</v>
      </c>
      <c r="J163" t="str">
        <f t="shared" ca="1" si="13"/>
        <v/>
      </c>
      <c r="L163" t="str">
        <f t="shared" si="14"/>
        <v>Hello , your loan of UGX  is due on 00-Jan-1900. Please clear to avoid penalty.</v>
      </c>
    </row>
    <row r="164" spans="4:12" x14ac:dyDescent="0.35">
      <c r="D164">
        <f t="shared" si="10"/>
        <v>0</v>
      </c>
      <c r="E164">
        <f t="shared" si="11"/>
        <v>0</v>
      </c>
      <c r="H164">
        <f t="shared" ca="1" si="12"/>
        <v>46115</v>
      </c>
      <c r="J164" t="str">
        <f t="shared" ca="1" si="13"/>
        <v/>
      </c>
      <c r="L164" t="str">
        <f t="shared" si="14"/>
        <v>Hello , your loan of UGX  is due on 00-Jan-1900. Please clear to avoid penalty.</v>
      </c>
    </row>
    <row r="165" spans="4:12" x14ac:dyDescent="0.35">
      <c r="D165">
        <f t="shared" si="10"/>
        <v>0</v>
      </c>
      <c r="E165">
        <f t="shared" si="11"/>
        <v>0</v>
      </c>
      <c r="H165">
        <f t="shared" ca="1" si="12"/>
        <v>46115</v>
      </c>
      <c r="J165" t="str">
        <f t="shared" ca="1" si="13"/>
        <v/>
      </c>
      <c r="L165" t="str">
        <f t="shared" si="14"/>
        <v>Hello , your loan of UGX  is due on 00-Jan-1900. Please clear to avoid penalty.</v>
      </c>
    </row>
    <row r="166" spans="4:12" x14ac:dyDescent="0.35">
      <c r="D166">
        <f t="shared" si="10"/>
        <v>0</v>
      </c>
      <c r="E166">
        <f t="shared" si="11"/>
        <v>0</v>
      </c>
      <c r="H166">
        <f t="shared" ca="1" si="12"/>
        <v>46115</v>
      </c>
      <c r="J166" t="str">
        <f t="shared" ca="1" si="13"/>
        <v/>
      </c>
      <c r="L166" t="str">
        <f t="shared" si="14"/>
        <v>Hello , your loan of UGX  is due on 00-Jan-1900. Please clear to avoid penalty.</v>
      </c>
    </row>
    <row r="167" spans="4:12" x14ac:dyDescent="0.35">
      <c r="D167">
        <f t="shared" si="10"/>
        <v>0</v>
      </c>
      <c r="E167">
        <f t="shared" si="11"/>
        <v>0</v>
      </c>
      <c r="H167">
        <f t="shared" ca="1" si="12"/>
        <v>46115</v>
      </c>
      <c r="J167" t="str">
        <f t="shared" ca="1" si="13"/>
        <v/>
      </c>
      <c r="L167" t="str">
        <f t="shared" si="14"/>
        <v>Hello , your loan of UGX  is due on 00-Jan-1900. Please clear to avoid penalty.</v>
      </c>
    </row>
    <row r="168" spans="4:12" x14ac:dyDescent="0.35">
      <c r="D168">
        <f t="shared" si="10"/>
        <v>0</v>
      </c>
      <c r="E168">
        <f t="shared" si="11"/>
        <v>0</v>
      </c>
      <c r="H168">
        <f t="shared" ca="1" si="12"/>
        <v>46115</v>
      </c>
      <c r="J168" t="str">
        <f t="shared" ca="1" si="13"/>
        <v/>
      </c>
      <c r="L168" t="str">
        <f t="shared" si="14"/>
        <v>Hello , your loan of UGX  is due on 00-Jan-1900. Please clear to avoid penalty.</v>
      </c>
    </row>
    <row r="169" spans="4:12" x14ac:dyDescent="0.35">
      <c r="D169">
        <f t="shared" si="10"/>
        <v>0</v>
      </c>
      <c r="E169">
        <f t="shared" si="11"/>
        <v>0</v>
      </c>
      <c r="H169">
        <f t="shared" ca="1" si="12"/>
        <v>46115</v>
      </c>
      <c r="J169" t="str">
        <f t="shared" ca="1" si="13"/>
        <v/>
      </c>
      <c r="L169" t="str">
        <f t="shared" si="14"/>
        <v>Hello , your loan of UGX  is due on 00-Jan-1900. Please clear to avoid penalty.</v>
      </c>
    </row>
    <row r="170" spans="4:12" x14ac:dyDescent="0.35">
      <c r="D170">
        <f t="shared" si="10"/>
        <v>0</v>
      </c>
      <c r="E170">
        <f t="shared" si="11"/>
        <v>0</v>
      </c>
      <c r="H170">
        <f t="shared" ca="1" si="12"/>
        <v>46115</v>
      </c>
      <c r="J170" t="str">
        <f t="shared" ca="1" si="13"/>
        <v/>
      </c>
      <c r="L170" t="str">
        <f t="shared" si="14"/>
        <v>Hello , your loan of UGX  is due on 00-Jan-1900. Please clear to avoid penalty.</v>
      </c>
    </row>
    <row r="171" spans="4:12" x14ac:dyDescent="0.35">
      <c r="D171">
        <f t="shared" si="10"/>
        <v>0</v>
      </c>
      <c r="E171">
        <f t="shared" si="11"/>
        <v>0</v>
      </c>
      <c r="H171">
        <f t="shared" ca="1" si="12"/>
        <v>46115</v>
      </c>
      <c r="J171" t="str">
        <f t="shared" ca="1" si="13"/>
        <v/>
      </c>
      <c r="L171" t="str">
        <f t="shared" si="14"/>
        <v>Hello , your loan of UGX  is due on 00-Jan-1900. Please clear to avoid penalty.</v>
      </c>
    </row>
    <row r="172" spans="4:12" x14ac:dyDescent="0.35">
      <c r="D172">
        <f t="shared" si="10"/>
        <v>0</v>
      </c>
      <c r="E172">
        <f t="shared" si="11"/>
        <v>0</v>
      </c>
      <c r="H172">
        <f t="shared" ca="1" si="12"/>
        <v>46115</v>
      </c>
      <c r="J172" t="str">
        <f t="shared" ca="1" si="13"/>
        <v/>
      </c>
      <c r="L172" t="str">
        <f t="shared" si="14"/>
        <v>Hello , your loan of UGX  is due on 00-Jan-1900. Please clear to avoid penalty.</v>
      </c>
    </row>
    <row r="173" spans="4:12" x14ac:dyDescent="0.35">
      <c r="D173">
        <f t="shared" si="10"/>
        <v>0</v>
      </c>
      <c r="E173">
        <f t="shared" si="11"/>
        <v>0</v>
      </c>
      <c r="H173">
        <f t="shared" ca="1" si="12"/>
        <v>46115</v>
      </c>
      <c r="J173" t="str">
        <f t="shared" ca="1" si="13"/>
        <v/>
      </c>
      <c r="L173" t="str">
        <f t="shared" si="14"/>
        <v>Hello , your loan of UGX  is due on 00-Jan-1900. Please clear to avoid penalty.</v>
      </c>
    </row>
    <row r="174" spans="4:12" x14ac:dyDescent="0.35">
      <c r="D174">
        <f t="shared" si="10"/>
        <v>0</v>
      </c>
      <c r="E174">
        <f t="shared" si="11"/>
        <v>0</v>
      </c>
      <c r="H174">
        <f t="shared" ca="1" si="12"/>
        <v>46115</v>
      </c>
      <c r="J174" t="str">
        <f t="shared" ca="1" si="13"/>
        <v/>
      </c>
      <c r="L174" t="str">
        <f t="shared" si="14"/>
        <v>Hello , your loan of UGX  is due on 00-Jan-1900. Please clear to avoid penalty.</v>
      </c>
    </row>
    <row r="175" spans="4:12" x14ac:dyDescent="0.35">
      <c r="D175">
        <f t="shared" si="10"/>
        <v>0</v>
      </c>
      <c r="E175">
        <f t="shared" si="11"/>
        <v>0</v>
      </c>
      <c r="H175">
        <f t="shared" ca="1" si="12"/>
        <v>46115</v>
      </c>
      <c r="J175" t="str">
        <f t="shared" ca="1" si="13"/>
        <v/>
      </c>
      <c r="L175" t="str">
        <f t="shared" si="14"/>
        <v>Hello , your loan of UGX  is due on 00-Jan-1900. Please clear to avoid penalty.</v>
      </c>
    </row>
    <row r="176" spans="4:12" x14ac:dyDescent="0.35">
      <c r="D176">
        <f t="shared" si="10"/>
        <v>0</v>
      </c>
      <c r="E176">
        <f t="shared" si="11"/>
        <v>0</v>
      </c>
      <c r="H176">
        <f t="shared" ca="1" si="12"/>
        <v>46115</v>
      </c>
      <c r="J176" t="str">
        <f t="shared" ca="1" si="13"/>
        <v/>
      </c>
      <c r="L176" t="str">
        <f t="shared" si="14"/>
        <v>Hello , your loan of UGX  is due on 00-Jan-1900. Please clear to avoid penalty.</v>
      </c>
    </row>
    <row r="177" spans="4:12" x14ac:dyDescent="0.35">
      <c r="D177">
        <f t="shared" ref="D177:D240" si="15">C177*0.4</f>
        <v>0</v>
      </c>
      <c r="E177">
        <f t="shared" ref="E177:E240" si="16">C177+D177</f>
        <v>0</v>
      </c>
      <c r="H177">
        <f t="shared" ref="H177:H240" ca="1" si="17">IF(TODAY()&gt;G177, TODAY()-G177, 0)</f>
        <v>46115</v>
      </c>
      <c r="J177" t="str">
        <f t="shared" ref="J177:J240" ca="1" si="18">IF(J177="Closed","Closed",IF(TODAY()&gt;G177,"Late",IF(TODAY()=G177,"Due Today","Active")))</f>
        <v/>
      </c>
      <c r="L177" t="str">
        <f t="shared" ref="L177:L240" si="19">"Hello "&amp;A177&amp;", your loan of UGX "&amp;C177&amp;" is due on "&amp;TEXT(G177,"dd-mmm-yyyy")&amp;". Please clear to avoid penalty."</f>
        <v>Hello , your loan of UGX  is due on 00-Jan-1900. Please clear to avoid penalty.</v>
      </c>
    </row>
    <row r="178" spans="4:12" x14ac:dyDescent="0.35">
      <c r="D178">
        <f t="shared" si="15"/>
        <v>0</v>
      </c>
      <c r="E178">
        <f t="shared" si="16"/>
        <v>0</v>
      </c>
      <c r="H178">
        <f t="shared" ca="1" si="17"/>
        <v>46115</v>
      </c>
      <c r="J178" t="str">
        <f t="shared" ca="1" si="18"/>
        <v/>
      </c>
      <c r="L178" t="str">
        <f t="shared" si="19"/>
        <v>Hello , your loan of UGX  is due on 00-Jan-1900. Please clear to avoid penalty.</v>
      </c>
    </row>
    <row r="179" spans="4:12" x14ac:dyDescent="0.35">
      <c r="D179">
        <f t="shared" si="15"/>
        <v>0</v>
      </c>
      <c r="E179">
        <f t="shared" si="16"/>
        <v>0</v>
      </c>
      <c r="H179">
        <f t="shared" ca="1" si="17"/>
        <v>46115</v>
      </c>
      <c r="J179" t="str">
        <f t="shared" ca="1" si="18"/>
        <v/>
      </c>
      <c r="L179" t="str">
        <f t="shared" si="19"/>
        <v>Hello , your loan of UGX  is due on 00-Jan-1900. Please clear to avoid penalty.</v>
      </c>
    </row>
    <row r="180" spans="4:12" x14ac:dyDescent="0.35">
      <c r="D180">
        <f t="shared" si="15"/>
        <v>0</v>
      </c>
      <c r="E180">
        <f t="shared" si="16"/>
        <v>0</v>
      </c>
      <c r="H180">
        <f t="shared" ca="1" si="17"/>
        <v>46115</v>
      </c>
      <c r="J180" t="str">
        <f t="shared" ca="1" si="18"/>
        <v/>
      </c>
      <c r="L180" t="str">
        <f t="shared" si="19"/>
        <v>Hello , your loan of UGX  is due on 00-Jan-1900. Please clear to avoid penalty.</v>
      </c>
    </row>
    <row r="181" spans="4:12" x14ac:dyDescent="0.35">
      <c r="D181">
        <f t="shared" si="15"/>
        <v>0</v>
      </c>
      <c r="E181">
        <f t="shared" si="16"/>
        <v>0</v>
      </c>
      <c r="H181">
        <f t="shared" ca="1" si="17"/>
        <v>46115</v>
      </c>
      <c r="J181" t="str">
        <f t="shared" ca="1" si="18"/>
        <v/>
      </c>
      <c r="L181" t="str">
        <f t="shared" si="19"/>
        <v>Hello , your loan of UGX  is due on 00-Jan-1900. Please clear to avoid penalty.</v>
      </c>
    </row>
    <row r="182" spans="4:12" x14ac:dyDescent="0.35">
      <c r="D182">
        <f t="shared" si="15"/>
        <v>0</v>
      </c>
      <c r="E182">
        <f t="shared" si="16"/>
        <v>0</v>
      </c>
      <c r="H182">
        <f t="shared" ca="1" si="17"/>
        <v>46115</v>
      </c>
      <c r="J182" t="str">
        <f t="shared" ca="1" si="18"/>
        <v/>
      </c>
      <c r="L182" t="str">
        <f t="shared" si="19"/>
        <v>Hello , your loan of UGX  is due on 00-Jan-1900. Please clear to avoid penalty.</v>
      </c>
    </row>
    <row r="183" spans="4:12" x14ac:dyDescent="0.35">
      <c r="D183">
        <f t="shared" si="15"/>
        <v>0</v>
      </c>
      <c r="E183">
        <f t="shared" si="16"/>
        <v>0</v>
      </c>
      <c r="H183">
        <f t="shared" ca="1" si="17"/>
        <v>46115</v>
      </c>
      <c r="J183" t="str">
        <f t="shared" ca="1" si="18"/>
        <v/>
      </c>
      <c r="L183" t="str">
        <f t="shared" si="19"/>
        <v>Hello , your loan of UGX  is due on 00-Jan-1900. Please clear to avoid penalty.</v>
      </c>
    </row>
    <row r="184" spans="4:12" x14ac:dyDescent="0.35">
      <c r="D184">
        <f t="shared" si="15"/>
        <v>0</v>
      </c>
      <c r="E184">
        <f t="shared" si="16"/>
        <v>0</v>
      </c>
      <c r="H184">
        <f t="shared" ca="1" si="17"/>
        <v>46115</v>
      </c>
      <c r="J184" t="str">
        <f t="shared" ca="1" si="18"/>
        <v/>
      </c>
      <c r="L184" t="str">
        <f t="shared" si="19"/>
        <v>Hello , your loan of UGX  is due on 00-Jan-1900. Please clear to avoid penalty.</v>
      </c>
    </row>
    <row r="185" spans="4:12" x14ac:dyDescent="0.35">
      <c r="D185">
        <f t="shared" si="15"/>
        <v>0</v>
      </c>
      <c r="E185">
        <f t="shared" si="16"/>
        <v>0</v>
      </c>
      <c r="H185">
        <f t="shared" ca="1" si="17"/>
        <v>46115</v>
      </c>
      <c r="J185" t="str">
        <f t="shared" ca="1" si="18"/>
        <v/>
      </c>
      <c r="L185" t="str">
        <f t="shared" si="19"/>
        <v>Hello , your loan of UGX  is due on 00-Jan-1900. Please clear to avoid penalty.</v>
      </c>
    </row>
    <row r="186" spans="4:12" x14ac:dyDescent="0.35">
      <c r="D186">
        <f t="shared" si="15"/>
        <v>0</v>
      </c>
      <c r="E186">
        <f t="shared" si="16"/>
        <v>0</v>
      </c>
      <c r="H186">
        <f t="shared" ca="1" si="17"/>
        <v>46115</v>
      </c>
      <c r="J186" t="str">
        <f t="shared" ca="1" si="18"/>
        <v/>
      </c>
      <c r="L186" t="str">
        <f t="shared" si="19"/>
        <v>Hello , your loan of UGX  is due on 00-Jan-1900. Please clear to avoid penalty.</v>
      </c>
    </row>
    <row r="187" spans="4:12" x14ac:dyDescent="0.35">
      <c r="D187">
        <f t="shared" si="15"/>
        <v>0</v>
      </c>
      <c r="E187">
        <f t="shared" si="16"/>
        <v>0</v>
      </c>
      <c r="H187">
        <f t="shared" ca="1" si="17"/>
        <v>46115</v>
      </c>
      <c r="J187" t="str">
        <f t="shared" ca="1" si="18"/>
        <v/>
      </c>
      <c r="L187" t="str">
        <f t="shared" si="19"/>
        <v>Hello , your loan of UGX  is due on 00-Jan-1900. Please clear to avoid penalty.</v>
      </c>
    </row>
    <row r="188" spans="4:12" x14ac:dyDescent="0.35">
      <c r="D188">
        <f t="shared" si="15"/>
        <v>0</v>
      </c>
      <c r="E188">
        <f t="shared" si="16"/>
        <v>0</v>
      </c>
      <c r="H188">
        <f t="shared" ca="1" si="17"/>
        <v>46115</v>
      </c>
      <c r="J188" t="str">
        <f t="shared" ca="1" si="18"/>
        <v/>
      </c>
      <c r="L188" t="str">
        <f t="shared" si="19"/>
        <v>Hello , your loan of UGX  is due on 00-Jan-1900. Please clear to avoid penalty.</v>
      </c>
    </row>
    <row r="189" spans="4:12" x14ac:dyDescent="0.35">
      <c r="D189">
        <f t="shared" si="15"/>
        <v>0</v>
      </c>
      <c r="E189">
        <f t="shared" si="16"/>
        <v>0</v>
      </c>
      <c r="H189">
        <f t="shared" ca="1" si="17"/>
        <v>46115</v>
      </c>
      <c r="J189" t="str">
        <f t="shared" ca="1" si="18"/>
        <v/>
      </c>
      <c r="L189" t="str">
        <f t="shared" si="19"/>
        <v>Hello , your loan of UGX  is due on 00-Jan-1900. Please clear to avoid penalty.</v>
      </c>
    </row>
    <row r="190" spans="4:12" x14ac:dyDescent="0.35">
      <c r="D190">
        <f t="shared" si="15"/>
        <v>0</v>
      </c>
      <c r="E190">
        <f t="shared" si="16"/>
        <v>0</v>
      </c>
      <c r="H190">
        <f t="shared" ca="1" si="17"/>
        <v>46115</v>
      </c>
      <c r="J190" t="str">
        <f t="shared" ca="1" si="18"/>
        <v/>
      </c>
      <c r="L190" t="str">
        <f t="shared" si="19"/>
        <v>Hello , your loan of UGX  is due on 00-Jan-1900. Please clear to avoid penalty.</v>
      </c>
    </row>
    <row r="191" spans="4:12" x14ac:dyDescent="0.35">
      <c r="D191">
        <f t="shared" si="15"/>
        <v>0</v>
      </c>
      <c r="E191">
        <f t="shared" si="16"/>
        <v>0</v>
      </c>
      <c r="H191">
        <f t="shared" ca="1" si="17"/>
        <v>46115</v>
      </c>
      <c r="J191" t="str">
        <f t="shared" ca="1" si="18"/>
        <v/>
      </c>
      <c r="L191" t="str">
        <f t="shared" si="19"/>
        <v>Hello , your loan of UGX  is due on 00-Jan-1900. Please clear to avoid penalty.</v>
      </c>
    </row>
    <row r="192" spans="4:12" x14ac:dyDescent="0.35">
      <c r="D192">
        <f t="shared" si="15"/>
        <v>0</v>
      </c>
      <c r="E192">
        <f t="shared" si="16"/>
        <v>0</v>
      </c>
      <c r="H192">
        <f t="shared" ca="1" si="17"/>
        <v>46115</v>
      </c>
      <c r="J192" t="str">
        <f t="shared" ca="1" si="18"/>
        <v/>
      </c>
      <c r="L192" t="str">
        <f t="shared" si="19"/>
        <v>Hello , your loan of UGX  is due on 00-Jan-1900. Please clear to avoid penalty.</v>
      </c>
    </row>
    <row r="193" spans="4:12" x14ac:dyDescent="0.35">
      <c r="D193">
        <f t="shared" si="15"/>
        <v>0</v>
      </c>
      <c r="E193">
        <f t="shared" si="16"/>
        <v>0</v>
      </c>
      <c r="H193">
        <f t="shared" ca="1" si="17"/>
        <v>46115</v>
      </c>
      <c r="J193" t="str">
        <f t="shared" ca="1" si="18"/>
        <v/>
      </c>
      <c r="L193" t="str">
        <f t="shared" si="19"/>
        <v>Hello , your loan of UGX  is due on 00-Jan-1900. Please clear to avoid penalty.</v>
      </c>
    </row>
    <row r="194" spans="4:12" x14ac:dyDescent="0.35">
      <c r="D194">
        <f t="shared" si="15"/>
        <v>0</v>
      </c>
      <c r="E194">
        <f t="shared" si="16"/>
        <v>0</v>
      </c>
      <c r="H194">
        <f t="shared" ca="1" si="17"/>
        <v>46115</v>
      </c>
      <c r="J194" t="str">
        <f t="shared" ca="1" si="18"/>
        <v/>
      </c>
      <c r="L194" t="str">
        <f t="shared" si="19"/>
        <v>Hello , your loan of UGX  is due on 00-Jan-1900. Please clear to avoid penalty.</v>
      </c>
    </row>
    <row r="195" spans="4:12" x14ac:dyDescent="0.35">
      <c r="D195">
        <f t="shared" si="15"/>
        <v>0</v>
      </c>
      <c r="E195">
        <f t="shared" si="16"/>
        <v>0</v>
      </c>
      <c r="H195">
        <f t="shared" ca="1" si="17"/>
        <v>46115</v>
      </c>
      <c r="J195" t="str">
        <f t="shared" ca="1" si="18"/>
        <v/>
      </c>
      <c r="L195" t="str">
        <f t="shared" si="19"/>
        <v>Hello , your loan of UGX  is due on 00-Jan-1900. Please clear to avoid penalty.</v>
      </c>
    </row>
    <row r="196" spans="4:12" x14ac:dyDescent="0.35">
      <c r="D196">
        <f t="shared" si="15"/>
        <v>0</v>
      </c>
      <c r="E196">
        <f t="shared" si="16"/>
        <v>0</v>
      </c>
      <c r="H196">
        <f t="shared" ca="1" si="17"/>
        <v>46115</v>
      </c>
      <c r="J196" t="str">
        <f t="shared" ca="1" si="18"/>
        <v/>
      </c>
      <c r="L196" t="str">
        <f t="shared" si="19"/>
        <v>Hello , your loan of UGX  is due on 00-Jan-1900. Please clear to avoid penalty.</v>
      </c>
    </row>
    <row r="197" spans="4:12" x14ac:dyDescent="0.35">
      <c r="D197">
        <f t="shared" si="15"/>
        <v>0</v>
      </c>
      <c r="E197">
        <f t="shared" si="16"/>
        <v>0</v>
      </c>
      <c r="H197">
        <f t="shared" ca="1" si="17"/>
        <v>46115</v>
      </c>
      <c r="J197" t="str">
        <f t="shared" ca="1" si="18"/>
        <v/>
      </c>
      <c r="L197" t="str">
        <f t="shared" si="19"/>
        <v>Hello , your loan of UGX  is due on 00-Jan-1900. Please clear to avoid penalty.</v>
      </c>
    </row>
    <row r="198" spans="4:12" x14ac:dyDescent="0.35">
      <c r="D198">
        <f t="shared" si="15"/>
        <v>0</v>
      </c>
      <c r="E198">
        <f t="shared" si="16"/>
        <v>0</v>
      </c>
      <c r="H198">
        <f t="shared" ca="1" si="17"/>
        <v>46115</v>
      </c>
      <c r="J198" t="str">
        <f t="shared" ca="1" si="18"/>
        <v/>
      </c>
      <c r="L198" t="str">
        <f t="shared" si="19"/>
        <v>Hello , your loan of UGX  is due on 00-Jan-1900. Please clear to avoid penalty.</v>
      </c>
    </row>
    <row r="199" spans="4:12" x14ac:dyDescent="0.35">
      <c r="D199">
        <f t="shared" si="15"/>
        <v>0</v>
      </c>
      <c r="E199">
        <f t="shared" si="16"/>
        <v>0</v>
      </c>
      <c r="H199">
        <f t="shared" ca="1" si="17"/>
        <v>46115</v>
      </c>
      <c r="J199" t="str">
        <f t="shared" ca="1" si="18"/>
        <v/>
      </c>
      <c r="L199" t="str">
        <f t="shared" si="19"/>
        <v>Hello , your loan of UGX  is due on 00-Jan-1900. Please clear to avoid penalty.</v>
      </c>
    </row>
    <row r="200" spans="4:12" x14ac:dyDescent="0.35">
      <c r="D200">
        <f t="shared" si="15"/>
        <v>0</v>
      </c>
      <c r="E200">
        <f t="shared" si="16"/>
        <v>0</v>
      </c>
      <c r="H200">
        <f t="shared" ca="1" si="17"/>
        <v>46115</v>
      </c>
      <c r="J200" t="str">
        <f t="shared" ca="1" si="18"/>
        <v/>
      </c>
      <c r="L200" t="str">
        <f t="shared" si="19"/>
        <v>Hello , your loan of UGX  is due on 00-Jan-1900. Please clear to avoid penalty.</v>
      </c>
    </row>
    <row r="201" spans="4:12" x14ac:dyDescent="0.35">
      <c r="D201">
        <f t="shared" si="15"/>
        <v>0</v>
      </c>
      <c r="E201">
        <f t="shared" si="16"/>
        <v>0</v>
      </c>
      <c r="H201">
        <f t="shared" ca="1" si="17"/>
        <v>46115</v>
      </c>
      <c r="J201" t="str">
        <f t="shared" ca="1" si="18"/>
        <v/>
      </c>
      <c r="L201" t="str">
        <f t="shared" si="19"/>
        <v>Hello , your loan of UGX  is due on 00-Jan-1900. Please clear to avoid penalty.</v>
      </c>
    </row>
    <row r="202" spans="4:12" x14ac:dyDescent="0.35">
      <c r="D202">
        <f t="shared" si="15"/>
        <v>0</v>
      </c>
      <c r="E202">
        <f t="shared" si="16"/>
        <v>0</v>
      </c>
      <c r="H202">
        <f t="shared" ca="1" si="17"/>
        <v>46115</v>
      </c>
      <c r="J202" t="str">
        <f t="shared" ca="1" si="18"/>
        <v/>
      </c>
      <c r="L202" t="str">
        <f t="shared" si="19"/>
        <v>Hello , your loan of UGX  is due on 00-Jan-1900. Please clear to avoid penalty.</v>
      </c>
    </row>
    <row r="203" spans="4:12" x14ac:dyDescent="0.35">
      <c r="D203">
        <f t="shared" si="15"/>
        <v>0</v>
      </c>
      <c r="E203">
        <f t="shared" si="16"/>
        <v>0</v>
      </c>
      <c r="H203">
        <f t="shared" ca="1" si="17"/>
        <v>46115</v>
      </c>
      <c r="J203" t="str">
        <f t="shared" ca="1" si="18"/>
        <v/>
      </c>
      <c r="L203" t="str">
        <f t="shared" si="19"/>
        <v>Hello , your loan of UGX  is due on 00-Jan-1900. Please clear to avoid penalty.</v>
      </c>
    </row>
    <row r="204" spans="4:12" x14ac:dyDescent="0.35">
      <c r="D204">
        <f t="shared" si="15"/>
        <v>0</v>
      </c>
      <c r="E204">
        <f t="shared" si="16"/>
        <v>0</v>
      </c>
      <c r="H204">
        <f t="shared" ca="1" si="17"/>
        <v>46115</v>
      </c>
      <c r="J204" t="str">
        <f t="shared" ca="1" si="18"/>
        <v/>
      </c>
      <c r="L204" t="str">
        <f t="shared" si="19"/>
        <v>Hello , your loan of UGX  is due on 00-Jan-1900. Please clear to avoid penalty.</v>
      </c>
    </row>
    <row r="205" spans="4:12" x14ac:dyDescent="0.35">
      <c r="D205">
        <f t="shared" si="15"/>
        <v>0</v>
      </c>
      <c r="E205">
        <f t="shared" si="16"/>
        <v>0</v>
      </c>
      <c r="H205">
        <f t="shared" ca="1" si="17"/>
        <v>46115</v>
      </c>
      <c r="J205" t="str">
        <f t="shared" ca="1" si="18"/>
        <v/>
      </c>
      <c r="L205" t="str">
        <f t="shared" si="19"/>
        <v>Hello , your loan of UGX  is due on 00-Jan-1900. Please clear to avoid penalty.</v>
      </c>
    </row>
    <row r="206" spans="4:12" x14ac:dyDescent="0.35">
      <c r="D206">
        <f t="shared" si="15"/>
        <v>0</v>
      </c>
      <c r="E206">
        <f t="shared" si="16"/>
        <v>0</v>
      </c>
      <c r="H206">
        <f t="shared" ca="1" si="17"/>
        <v>46115</v>
      </c>
      <c r="J206" t="str">
        <f t="shared" ca="1" si="18"/>
        <v/>
      </c>
      <c r="L206" t="str">
        <f t="shared" si="19"/>
        <v>Hello , your loan of UGX  is due on 00-Jan-1900. Please clear to avoid penalty.</v>
      </c>
    </row>
    <row r="207" spans="4:12" x14ac:dyDescent="0.35">
      <c r="D207">
        <f t="shared" si="15"/>
        <v>0</v>
      </c>
      <c r="E207">
        <f t="shared" si="16"/>
        <v>0</v>
      </c>
      <c r="H207">
        <f t="shared" ca="1" si="17"/>
        <v>46115</v>
      </c>
      <c r="J207" t="str">
        <f t="shared" ca="1" si="18"/>
        <v/>
      </c>
      <c r="L207" t="str">
        <f t="shared" si="19"/>
        <v>Hello , your loan of UGX  is due on 00-Jan-1900. Please clear to avoid penalty.</v>
      </c>
    </row>
    <row r="208" spans="4:12" x14ac:dyDescent="0.35">
      <c r="D208">
        <f t="shared" si="15"/>
        <v>0</v>
      </c>
      <c r="E208">
        <f t="shared" si="16"/>
        <v>0</v>
      </c>
      <c r="H208">
        <f t="shared" ca="1" si="17"/>
        <v>46115</v>
      </c>
      <c r="J208" t="str">
        <f t="shared" ca="1" si="18"/>
        <v/>
      </c>
      <c r="L208" t="str">
        <f t="shared" si="19"/>
        <v>Hello , your loan of UGX  is due on 00-Jan-1900. Please clear to avoid penalty.</v>
      </c>
    </row>
    <row r="209" spans="4:12" x14ac:dyDescent="0.35">
      <c r="D209">
        <f t="shared" si="15"/>
        <v>0</v>
      </c>
      <c r="E209">
        <f t="shared" si="16"/>
        <v>0</v>
      </c>
      <c r="H209">
        <f t="shared" ca="1" si="17"/>
        <v>46115</v>
      </c>
      <c r="J209" t="str">
        <f t="shared" ca="1" si="18"/>
        <v/>
      </c>
      <c r="L209" t="str">
        <f t="shared" si="19"/>
        <v>Hello , your loan of UGX  is due on 00-Jan-1900. Please clear to avoid penalty.</v>
      </c>
    </row>
    <row r="210" spans="4:12" x14ac:dyDescent="0.35">
      <c r="D210">
        <f t="shared" si="15"/>
        <v>0</v>
      </c>
      <c r="E210">
        <f t="shared" si="16"/>
        <v>0</v>
      </c>
      <c r="H210">
        <f t="shared" ca="1" si="17"/>
        <v>46115</v>
      </c>
      <c r="J210" t="str">
        <f t="shared" ca="1" si="18"/>
        <v/>
      </c>
      <c r="L210" t="str">
        <f t="shared" si="19"/>
        <v>Hello , your loan of UGX  is due on 00-Jan-1900. Please clear to avoid penalty.</v>
      </c>
    </row>
    <row r="211" spans="4:12" x14ac:dyDescent="0.35">
      <c r="D211">
        <f t="shared" si="15"/>
        <v>0</v>
      </c>
      <c r="E211">
        <f t="shared" si="16"/>
        <v>0</v>
      </c>
      <c r="H211">
        <f t="shared" ca="1" si="17"/>
        <v>46115</v>
      </c>
      <c r="J211" t="str">
        <f t="shared" ca="1" si="18"/>
        <v/>
      </c>
      <c r="L211" t="str">
        <f t="shared" si="19"/>
        <v>Hello , your loan of UGX  is due on 00-Jan-1900. Please clear to avoid penalty.</v>
      </c>
    </row>
    <row r="212" spans="4:12" x14ac:dyDescent="0.35">
      <c r="D212">
        <f t="shared" si="15"/>
        <v>0</v>
      </c>
      <c r="E212">
        <f t="shared" si="16"/>
        <v>0</v>
      </c>
      <c r="H212">
        <f t="shared" ca="1" si="17"/>
        <v>46115</v>
      </c>
      <c r="J212" t="str">
        <f t="shared" ca="1" si="18"/>
        <v/>
      </c>
      <c r="L212" t="str">
        <f t="shared" si="19"/>
        <v>Hello , your loan of UGX  is due on 00-Jan-1900. Please clear to avoid penalty.</v>
      </c>
    </row>
    <row r="213" spans="4:12" x14ac:dyDescent="0.35">
      <c r="D213">
        <f t="shared" si="15"/>
        <v>0</v>
      </c>
      <c r="E213">
        <f t="shared" si="16"/>
        <v>0</v>
      </c>
      <c r="H213">
        <f t="shared" ca="1" si="17"/>
        <v>46115</v>
      </c>
      <c r="J213" t="str">
        <f t="shared" ca="1" si="18"/>
        <v/>
      </c>
      <c r="L213" t="str">
        <f t="shared" si="19"/>
        <v>Hello , your loan of UGX  is due on 00-Jan-1900. Please clear to avoid penalty.</v>
      </c>
    </row>
    <row r="214" spans="4:12" x14ac:dyDescent="0.35">
      <c r="D214">
        <f t="shared" si="15"/>
        <v>0</v>
      </c>
      <c r="E214">
        <f t="shared" si="16"/>
        <v>0</v>
      </c>
      <c r="H214">
        <f t="shared" ca="1" si="17"/>
        <v>46115</v>
      </c>
      <c r="J214" t="str">
        <f t="shared" ca="1" si="18"/>
        <v/>
      </c>
      <c r="L214" t="str">
        <f t="shared" si="19"/>
        <v>Hello , your loan of UGX  is due on 00-Jan-1900. Please clear to avoid penalty.</v>
      </c>
    </row>
    <row r="215" spans="4:12" x14ac:dyDescent="0.35">
      <c r="D215">
        <f t="shared" si="15"/>
        <v>0</v>
      </c>
      <c r="E215">
        <f t="shared" si="16"/>
        <v>0</v>
      </c>
      <c r="H215">
        <f t="shared" ca="1" si="17"/>
        <v>46115</v>
      </c>
      <c r="J215" t="str">
        <f t="shared" ca="1" si="18"/>
        <v/>
      </c>
      <c r="L215" t="str">
        <f t="shared" si="19"/>
        <v>Hello , your loan of UGX  is due on 00-Jan-1900. Please clear to avoid penalty.</v>
      </c>
    </row>
    <row r="216" spans="4:12" x14ac:dyDescent="0.35">
      <c r="D216">
        <f t="shared" si="15"/>
        <v>0</v>
      </c>
      <c r="E216">
        <f t="shared" si="16"/>
        <v>0</v>
      </c>
      <c r="H216">
        <f t="shared" ca="1" si="17"/>
        <v>46115</v>
      </c>
      <c r="J216" t="str">
        <f t="shared" ca="1" si="18"/>
        <v/>
      </c>
      <c r="L216" t="str">
        <f t="shared" si="19"/>
        <v>Hello , your loan of UGX  is due on 00-Jan-1900. Please clear to avoid penalty.</v>
      </c>
    </row>
    <row r="217" spans="4:12" x14ac:dyDescent="0.35">
      <c r="D217">
        <f t="shared" si="15"/>
        <v>0</v>
      </c>
      <c r="E217">
        <f t="shared" si="16"/>
        <v>0</v>
      </c>
      <c r="H217">
        <f t="shared" ca="1" si="17"/>
        <v>46115</v>
      </c>
      <c r="J217" t="str">
        <f t="shared" ca="1" si="18"/>
        <v/>
      </c>
      <c r="L217" t="str">
        <f t="shared" si="19"/>
        <v>Hello , your loan of UGX  is due on 00-Jan-1900. Please clear to avoid penalty.</v>
      </c>
    </row>
    <row r="218" spans="4:12" x14ac:dyDescent="0.35">
      <c r="D218">
        <f t="shared" si="15"/>
        <v>0</v>
      </c>
      <c r="E218">
        <f t="shared" si="16"/>
        <v>0</v>
      </c>
      <c r="H218">
        <f t="shared" ca="1" si="17"/>
        <v>46115</v>
      </c>
      <c r="J218" t="str">
        <f t="shared" ca="1" si="18"/>
        <v/>
      </c>
      <c r="L218" t="str">
        <f t="shared" si="19"/>
        <v>Hello , your loan of UGX  is due on 00-Jan-1900. Please clear to avoid penalty.</v>
      </c>
    </row>
    <row r="219" spans="4:12" x14ac:dyDescent="0.35">
      <c r="D219">
        <f t="shared" si="15"/>
        <v>0</v>
      </c>
      <c r="E219">
        <f t="shared" si="16"/>
        <v>0</v>
      </c>
      <c r="H219">
        <f t="shared" ca="1" si="17"/>
        <v>46115</v>
      </c>
      <c r="J219" t="str">
        <f t="shared" ca="1" si="18"/>
        <v/>
      </c>
      <c r="L219" t="str">
        <f t="shared" si="19"/>
        <v>Hello , your loan of UGX  is due on 00-Jan-1900. Please clear to avoid penalty.</v>
      </c>
    </row>
    <row r="220" spans="4:12" x14ac:dyDescent="0.35">
      <c r="D220">
        <f t="shared" si="15"/>
        <v>0</v>
      </c>
      <c r="E220">
        <f t="shared" si="16"/>
        <v>0</v>
      </c>
      <c r="H220">
        <f t="shared" ca="1" si="17"/>
        <v>46115</v>
      </c>
      <c r="J220" t="str">
        <f t="shared" ca="1" si="18"/>
        <v/>
      </c>
      <c r="L220" t="str">
        <f t="shared" si="19"/>
        <v>Hello , your loan of UGX  is due on 00-Jan-1900. Please clear to avoid penalty.</v>
      </c>
    </row>
    <row r="221" spans="4:12" x14ac:dyDescent="0.35">
      <c r="D221">
        <f t="shared" si="15"/>
        <v>0</v>
      </c>
      <c r="E221">
        <f t="shared" si="16"/>
        <v>0</v>
      </c>
      <c r="H221">
        <f t="shared" ca="1" si="17"/>
        <v>46115</v>
      </c>
      <c r="J221" t="str">
        <f t="shared" ca="1" si="18"/>
        <v/>
      </c>
      <c r="L221" t="str">
        <f t="shared" si="19"/>
        <v>Hello , your loan of UGX  is due on 00-Jan-1900. Please clear to avoid penalty.</v>
      </c>
    </row>
    <row r="222" spans="4:12" x14ac:dyDescent="0.35">
      <c r="D222">
        <f t="shared" si="15"/>
        <v>0</v>
      </c>
      <c r="E222">
        <f t="shared" si="16"/>
        <v>0</v>
      </c>
      <c r="H222">
        <f t="shared" ca="1" si="17"/>
        <v>46115</v>
      </c>
      <c r="J222" t="str">
        <f t="shared" ca="1" si="18"/>
        <v/>
      </c>
      <c r="L222" t="str">
        <f t="shared" si="19"/>
        <v>Hello , your loan of UGX  is due on 00-Jan-1900. Please clear to avoid penalty.</v>
      </c>
    </row>
    <row r="223" spans="4:12" x14ac:dyDescent="0.35">
      <c r="D223">
        <f t="shared" si="15"/>
        <v>0</v>
      </c>
      <c r="E223">
        <f t="shared" si="16"/>
        <v>0</v>
      </c>
      <c r="H223">
        <f t="shared" ca="1" si="17"/>
        <v>46115</v>
      </c>
      <c r="J223" t="str">
        <f t="shared" ca="1" si="18"/>
        <v/>
      </c>
      <c r="L223" t="str">
        <f t="shared" si="19"/>
        <v>Hello , your loan of UGX  is due on 00-Jan-1900. Please clear to avoid penalty.</v>
      </c>
    </row>
    <row r="224" spans="4:12" x14ac:dyDescent="0.35">
      <c r="D224">
        <f t="shared" si="15"/>
        <v>0</v>
      </c>
      <c r="E224">
        <f t="shared" si="16"/>
        <v>0</v>
      </c>
      <c r="H224">
        <f t="shared" ca="1" si="17"/>
        <v>46115</v>
      </c>
      <c r="J224" t="str">
        <f t="shared" ca="1" si="18"/>
        <v/>
      </c>
      <c r="L224" t="str">
        <f t="shared" si="19"/>
        <v>Hello , your loan of UGX  is due on 00-Jan-1900. Please clear to avoid penalty.</v>
      </c>
    </row>
    <row r="225" spans="4:12" x14ac:dyDescent="0.35">
      <c r="D225">
        <f t="shared" si="15"/>
        <v>0</v>
      </c>
      <c r="E225">
        <f t="shared" si="16"/>
        <v>0</v>
      </c>
      <c r="H225">
        <f t="shared" ca="1" si="17"/>
        <v>46115</v>
      </c>
      <c r="J225" t="str">
        <f t="shared" ca="1" si="18"/>
        <v/>
      </c>
      <c r="L225" t="str">
        <f t="shared" si="19"/>
        <v>Hello , your loan of UGX  is due on 00-Jan-1900. Please clear to avoid penalty.</v>
      </c>
    </row>
    <row r="226" spans="4:12" x14ac:dyDescent="0.35">
      <c r="D226">
        <f t="shared" si="15"/>
        <v>0</v>
      </c>
      <c r="E226">
        <f t="shared" si="16"/>
        <v>0</v>
      </c>
      <c r="H226">
        <f t="shared" ca="1" si="17"/>
        <v>46115</v>
      </c>
      <c r="J226" t="str">
        <f t="shared" ca="1" si="18"/>
        <v/>
      </c>
      <c r="L226" t="str">
        <f t="shared" si="19"/>
        <v>Hello , your loan of UGX  is due on 00-Jan-1900. Please clear to avoid penalty.</v>
      </c>
    </row>
    <row r="227" spans="4:12" x14ac:dyDescent="0.35">
      <c r="D227">
        <f t="shared" si="15"/>
        <v>0</v>
      </c>
      <c r="E227">
        <f t="shared" si="16"/>
        <v>0</v>
      </c>
      <c r="H227">
        <f t="shared" ca="1" si="17"/>
        <v>46115</v>
      </c>
      <c r="J227" t="str">
        <f t="shared" ca="1" si="18"/>
        <v/>
      </c>
      <c r="L227" t="str">
        <f t="shared" si="19"/>
        <v>Hello , your loan of UGX  is due on 00-Jan-1900. Please clear to avoid penalty.</v>
      </c>
    </row>
    <row r="228" spans="4:12" x14ac:dyDescent="0.35">
      <c r="D228">
        <f t="shared" si="15"/>
        <v>0</v>
      </c>
      <c r="E228">
        <f t="shared" si="16"/>
        <v>0</v>
      </c>
      <c r="H228">
        <f t="shared" ca="1" si="17"/>
        <v>46115</v>
      </c>
      <c r="J228" t="str">
        <f t="shared" ca="1" si="18"/>
        <v/>
      </c>
      <c r="L228" t="str">
        <f t="shared" si="19"/>
        <v>Hello , your loan of UGX  is due on 00-Jan-1900. Please clear to avoid penalty.</v>
      </c>
    </row>
    <row r="229" spans="4:12" x14ac:dyDescent="0.35">
      <c r="D229">
        <f t="shared" si="15"/>
        <v>0</v>
      </c>
      <c r="E229">
        <f t="shared" si="16"/>
        <v>0</v>
      </c>
      <c r="H229">
        <f t="shared" ca="1" si="17"/>
        <v>46115</v>
      </c>
      <c r="J229" t="str">
        <f t="shared" ca="1" si="18"/>
        <v/>
      </c>
      <c r="L229" t="str">
        <f t="shared" si="19"/>
        <v>Hello , your loan of UGX  is due on 00-Jan-1900. Please clear to avoid penalty.</v>
      </c>
    </row>
    <row r="230" spans="4:12" x14ac:dyDescent="0.35">
      <c r="D230">
        <f t="shared" si="15"/>
        <v>0</v>
      </c>
      <c r="E230">
        <f t="shared" si="16"/>
        <v>0</v>
      </c>
      <c r="H230">
        <f t="shared" ca="1" si="17"/>
        <v>46115</v>
      </c>
      <c r="J230" t="str">
        <f t="shared" ca="1" si="18"/>
        <v/>
      </c>
      <c r="L230" t="str">
        <f t="shared" si="19"/>
        <v>Hello , your loan of UGX  is due on 00-Jan-1900. Please clear to avoid penalty.</v>
      </c>
    </row>
    <row r="231" spans="4:12" x14ac:dyDescent="0.35">
      <c r="D231">
        <f t="shared" si="15"/>
        <v>0</v>
      </c>
      <c r="E231">
        <f t="shared" si="16"/>
        <v>0</v>
      </c>
      <c r="H231">
        <f t="shared" ca="1" si="17"/>
        <v>46115</v>
      </c>
      <c r="J231" t="str">
        <f t="shared" ca="1" si="18"/>
        <v/>
      </c>
      <c r="L231" t="str">
        <f t="shared" si="19"/>
        <v>Hello , your loan of UGX  is due on 00-Jan-1900. Please clear to avoid penalty.</v>
      </c>
    </row>
    <row r="232" spans="4:12" x14ac:dyDescent="0.35">
      <c r="D232">
        <f t="shared" si="15"/>
        <v>0</v>
      </c>
      <c r="E232">
        <f t="shared" si="16"/>
        <v>0</v>
      </c>
      <c r="H232">
        <f t="shared" ca="1" si="17"/>
        <v>46115</v>
      </c>
      <c r="J232" t="str">
        <f t="shared" ca="1" si="18"/>
        <v/>
      </c>
      <c r="L232" t="str">
        <f t="shared" si="19"/>
        <v>Hello , your loan of UGX  is due on 00-Jan-1900. Please clear to avoid penalty.</v>
      </c>
    </row>
    <row r="233" spans="4:12" x14ac:dyDescent="0.35">
      <c r="D233">
        <f t="shared" si="15"/>
        <v>0</v>
      </c>
      <c r="E233">
        <f t="shared" si="16"/>
        <v>0</v>
      </c>
      <c r="H233">
        <f t="shared" ca="1" si="17"/>
        <v>46115</v>
      </c>
      <c r="J233" t="str">
        <f t="shared" ca="1" si="18"/>
        <v/>
      </c>
      <c r="L233" t="str">
        <f t="shared" si="19"/>
        <v>Hello , your loan of UGX  is due on 00-Jan-1900. Please clear to avoid penalty.</v>
      </c>
    </row>
    <row r="234" spans="4:12" x14ac:dyDescent="0.35">
      <c r="D234">
        <f t="shared" si="15"/>
        <v>0</v>
      </c>
      <c r="E234">
        <f t="shared" si="16"/>
        <v>0</v>
      </c>
      <c r="H234">
        <f t="shared" ca="1" si="17"/>
        <v>46115</v>
      </c>
      <c r="J234" t="str">
        <f t="shared" ca="1" si="18"/>
        <v/>
      </c>
      <c r="L234" t="str">
        <f t="shared" si="19"/>
        <v>Hello , your loan of UGX  is due on 00-Jan-1900. Please clear to avoid penalty.</v>
      </c>
    </row>
    <row r="235" spans="4:12" x14ac:dyDescent="0.35">
      <c r="D235">
        <f t="shared" si="15"/>
        <v>0</v>
      </c>
      <c r="E235">
        <f t="shared" si="16"/>
        <v>0</v>
      </c>
      <c r="H235">
        <f t="shared" ca="1" si="17"/>
        <v>46115</v>
      </c>
      <c r="J235" t="str">
        <f t="shared" ca="1" si="18"/>
        <v/>
      </c>
      <c r="L235" t="str">
        <f t="shared" si="19"/>
        <v>Hello , your loan of UGX  is due on 00-Jan-1900. Please clear to avoid penalty.</v>
      </c>
    </row>
    <row r="236" spans="4:12" x14ac:dyDescent="0.35">
      <c r="D236">
        <f t="shared" si="15"/>
        <v>0</v>
      </c>
      <c r="E236">
        <f t="shared" si="16"/>
        <v>0</v>
      </c>
      <c r="H236">
        <f t="shared" ca="1" si="17"/>
        <v>46115</v>
      </c>
      <c r="J236" t="str">
        <f t="shared" ca="1" si="18"/>
        <v/>
      </c>
      <c r="L236" t="str">
        <f t="shared" si="19"/>
        <v>Hello , your loan of UGX  is due on 00-Jan-1900. Please clear to avoid penalty.</v>
      </c>
    </row>
    <row r="237" spans="4:12" x14ac:dyDescent="0.35">
      <c r="D237">
        <f t="shared" si="15"/>
        <v>0</v>
      </c>
      <c r="E237">
        <f t="shared" si="16"/>
        <v>0</v>
      </c>
      <c r="H237">
        <f t="shared" ca="1" si="17"/>
        <v>46115</v>
      </c>
      <c r="J237" t="str">
        <f t="shared" ca="1" si="18"/>
        <v/>
      </c>
      <c r="L237" t="str">
        <f t="shared" si="19"/>
        <v>Hello , your loan of UGX  is due on 00-Jan-1900. Please clear to avoid penalty.</v>
      </c>
    </row>
    <row r="238" spans="4:12" x14ac:dyDescent="0.35">
      <c r="D238">
        <f t="shared" si="15"/>
        <v>0</v>
      </c>
      <c r="E238">
        <f t="shared" si="16"/>
        <v>0</v>
      </c>
      <c r="H238">
        <f t="shared" ca="1" si="17"/>
        <v>46115</v>
      </c>
      <c r="J238" t="str">
        <f t="shared" ca="1" si="18"/>
        <v/>
      </c>
      <c r="L238" t="str">
        <f t="shared" si="19"/>
        <v>Hello , your loan of UGX  is due on 00-Jan-1900. Please clear to avoid penalty.</v>
      </c>
    </row>
    <row r="239" spans="4:12" x14ac:dyDescent="0.35">
      <c r="D239">
        <f t="shared" si="15"/>
        <v>0</v>
      </c>
      <c r="E239">
        <f t="shared" si="16"/>
        <v>0</v>
      </c>
      <c r="H239">
        <f t="shared" ca="1" si="17"/>
        <v>46115</v>
      </c>
      <c r="J239" t="str">
        <f t="shared" ca="1" si="18"/>
        <v/>
      </c>
      <c r="L239" t="str">
        <f t="shared" si="19"/>
        <v>Hello , your loan of UGX  is due on 00-Jan-1900. Please clear to avoid penalty.</v>
      </c>
    </row>
    <row r="240" spans="4:12" x14ac:dyDescent="0.35">
      <c r="D240">
        <f t="shared" si="15"/>
        <v>0</v>
      </c>
      <c r="E240">
        <f t="shared" si="16"/>
        <v>0</v>
      </c>
      <c r="H240">
        <f t="shared" ca="1" si="17"/>
        <v>46115</v>
      </c>
      <c r="J240" t="str">
        <f t="shared" ca="1" si="18"/>
        <v/>
      </c>
      <c r="L240" t="str">
        <f t="shared" si="19"/>
        <v>Hello , your loan of UGX  is due on 00-Jan-1900. Please clear to avoid penalty.</v>
      </c>
    </row>
    <row r="241" spans="4:12" x14ac:dyDescent="0.35">
      <c r="D241">
        <f t="shared" ref="D241:D304" si="20">C241*0.4</f>
        <v>0</v>
      </c>
      <c r="E241">
        <f t="shared" ref="E241:E304" si="21">C241+D241</f>
        <v>0</v>
      </c>
      <c r="H241">
        <f t="shared" ref="H241:H304" ca="1" si="22">IF(TODAY()&gt;G241, TODAY()-G241, 0)</f>
        <v>46115</v>
      </c>
      <c r="J241" t="str">
        <f t="shared" ref="J241:J304" ca="1" si="23">IF(J241="Closed","Closed",IF(TODAY()&gt;G241,"Late",IF(TODAY()=G241,"Due Today","Active")))</f>
        <v/>
      </c>
      <c r="L241" t="str">
        <f t="shared" ref="L241:L304" si="24">"Hello "&amp;A241&amp;", your loan of UGX "&amp;C241&amp;" is due on "&amp;TEXT(G241,"dd-mmm-yyyy")&amp;". Please clear to avoid penalty."</f>
        <v>Hello , your loan of UGX  is due on 00-Jan-1900. Please clear to avoid penalty.</v>
      </c>
    </row>
    <row r="242" spans="4:12" x14ac:dyDescent="0.35">
      <c r="D242">
        <f t="shared" si="20"/>
        <v>0</v>
      </c>
      <c r="E242">
        <f t="shared" si="21"/>
        <v>0</v>
      </c>
      <c r="H242">
        <f t="shared" ca="1" si="22"/>
        <v>46115</v>
      </c>
      <c r="J242" t="str">
        <f t="shared" ca="1" si="23"/>
        <v/>
      </c>
      <c r="L242" t="str">
        <f t="shared" si="24"/>
        <v>Hello , your loan of UGX  is due on 00-Jan-1900. Please clear to avoid penalty.</v>
      </c>
    </row>
    <row r="243" spans="4:12" x14ac:dyDescent="0.35">
      <c r="D243">
        <f t="shared" si="20"/>
        <v>0</v>
      </c>
      <c r="E243">
        <f t="shared" si="21"/>
        <v>0</v>
      </c>
      <c r="H243">
        <f t="shared" ca="1" si="22"/>
        <v>46115</v>
      </c>
      <c r="J243" t="str">
        <f t="shared" ca="1" si="23"/>
        <v/>
      </c>
      <c r="L243" t="str">
        <f t="shared" si="24"/>
        <v>Hello , your loan of UGX  is due on 00-Jan-1900. Please clear to avoid penalty.</v>
      </c>
    </row>
    <row r="244" spans="4:12" x14ac:dyDescent="0.35">
      <c r="D244">
        <f t="shared" si="20"/>
        <v>0</v>
      </c>
      <c r="E244">
        <f t="shared" si="21"/>
        <v>0</v>
      </c>
      <c r="H244">
        <f t="shared" ca="1" si="22"/>
        <v>46115</v>
      </c>
      <c r="J244" t="str">
        <f t="shared" ca="1" si="23"/>
        <v/>
      </c>
      <c r="L244" t="str">
        <f t="shared" si="24"/>
        <v>Hello , your loan of UGX  is due on 00-Jan-1900. Please clear to avoid penalty.</v>
      </c>
    </row>
    <row r="245" spans="4:12" x14ac:dyDescent="0.35">
      <c r="D245">
        <f t="shared" si="20"/>
        <v>0</v>
      </c>
      <c r="E245">
        <f t="shared" si="21"/>
        <v>0</v>
      </c>
      <c r="H245">
        <f t="shared" ca="1" si="22"/>
        <v>46115</v>
      </c>
      <c r="J245" t="str">
        <f t="shared" ca="1" si="23"/>
        <v/>
      </c>
      <c r="L245" t="str">
        <f t="shared" si="24"/>
        <v>Hello , your loan of UGX  is due on 00-Jan-1900. Please clear to avoid penalty.</v>
      </c>
    </row>
    <row r="246" spans="4:12" x14ac:dyDescent="0.35">
      <c r="D246">
        <f t="shared" si="20"/>
        <v>0</v>
      </c>
      <c r="E246">
        <f t="shared" si="21"/>
        <v>0</v>
      </c>
      <c r="H246">
        <f t="shared" ca="1" si="22"/>
        <v>46115</v>
      </c>
      <c r="J246" t="str">
        <f t="shared" ca="1" si="23"/>
        <v/>
      </c>
      <c r="L246" t="str">
        <f t="shared" si="24"/>
        <v>Hello , your loan of UGX  is due on 00-Jan-1900. Please clear to avoid penalty.</v>
      </c>
    </row>
    <row r="247" spans="4:12" x14ac:dyDescent="0.35">
      <c r="D247">
        <f t="shared" si="20"/>
        <v>0</v>
      </c>
      <c r="E247">
        <f t="shared" si="21"/>
        <v>0</v>
      </c>
      <c r="H247">
        <f t="shared" ca="1" si="22"/>
        <v>46115</v>
      </c>
      <c r="J247" t="str">
        <f t="shared" ca="1" si="23"/>
        <v/>
      </c>
      <c r="L247" t="str">
        <f t="shared" si="24"/>
        <v>Hello , your loan of UGX  is due on 00-Jan-1900. Please clear to avoid penalty.</v>
      </c>
    </row>
    <row r="248" spans="4:12" x14ac:dyDescent="0.35">
      <c r="D248">
        <f t="shared" si="20"/>
        <v>0</v>
      </c>
      <c r="E248">
        <f t="shared" si="21"/>
        <v>0</v>
      </c>
      <c r="H248">
        <f t="shared" ca="1" si="22"/>
        <v>46115</v>
      </c>
      <c r="J248" t="str">
        <f t="shared" ca="1" si="23"/>
        <v/>
      </c>
      <c r="L248" t="str">
        <f t="shared" si="24"/>
        <v>Hello , your loan of UGX  is due on 00-Jan-1900. Please clear to avoid penalty.</v>
      </c>
    </row>
    <row r="249" spans="4:12" x14ac:dyDescent="0.35">
      <c r="D249">
        <f t="shared" si="20"/>
        <v>0</v>
      </c>
      <c r="E249">
        <f t="shared" si="21"/>
        <v>0</v>
      </c>
      <c r="H249">
        <f t="shared" ca="1" si="22"/>
        <v>46115</v>
      </c>
      <c r="J249" t="str">
        <f t="shared" ca="1" si="23"/>
        <v/>
      </c>
      <c r="L249" t="str">
        <f t="shared" si="24"/>
        <v>Hello , your loan of UGX  is due on 00-Jan-1900. Please clear to avoid penalty.</v>
      </c>
    </row>
    <row r="250" spans="4:12" x14ac:dyDescent="0.35">
      <c r="D250">
        <f t="shared" si="20"/>
        <v>0</v>
      </c>
      <c r="E250">
        <f t="shared" si="21"/>
        <v>0</v>
      </c>
      <c r="H250">
        <f t="shared" ca="1" si="22"/>
        <v>46115</v>
      </c>
      <c r="J250" t="str">
        <f t="shared" ca="1" si="23"/>
        <v/>
      </c>
      <c r="L250" t="str">
        <f t="shared" si="24"/>
        <v>Hello , your loan of UGX  is due on 00-Jan-1900. Please clear to avoid penalty.</v>
      </c>
    </row>
    <row r="251" spans="4:12" x14ac:dyDescent="0.35">
      <c r="D251">
        <f t="shared" si="20"/>
        <v>0</v>
      </c>
      <c r="E251">
        <f t="shared" si="21"/>
        <v>0</v>
      </c>
      <c r="H251">
        <f t="shared" ca="1" si="22"/>
        <v>46115</v>
      </c>
      <c r="J251" t="str">
        <f t="shared" ca="1" si="23"/>
        <v/>
      </c>
      <c r="L251" t="str">
        <f t="shared" si="24"/>
        <v>Hello , your loan of UGX  is due on 00-Jan-1900. Please clear to avoid penalty.</v>
      </c>
    </row>
    <row r="252" spans="4:12" x14ac:dyDescent="0.35">
      <c r="D252">
        <f t="shared" si="20"/>
        <v>0</v>
      </c>
      <c r="E252">
        <f t="shared" si="21"/>
        <v>0</v>
      </c>
      <c r="H252">
        <f t="shared" ca="1" si="22"/>
        <v>46115</v>
      </c>
      <c r="J252" t="str">
        <f t="shared" ca="1" si="23"/>
        <v/>
      </c>
      <c r="L252" t="str">
        <f t="shared" si="24"/>
        <v>Hello , your loan of UGX  is due on 00-Jan-1900. Please clear to avoid penalty.</v>
      </c>
    </row>
    <row r="253" spans="4:12" x14ac:dyDescent="0.35">
      <c r="D253">
        <f t="shared" si="20"/>
        <v>0</v>
      </c>
      <c r="E253">
        <f t="shared" si="21"/>
        <v>0</v>
      </c>
      <c r="H253">
        <f t="shared" ca="1" si="22"/>
        <v>46115</v>
      </c>
      <c r="J253" t="str">
        <f t="shared" ca="1" si="23"/>
        <v/>
      </c>
      <c r="L253" t="str">
        <f t="shared" si="24"/>
        <v>Hello , your loan of UGX  is due on 00-Jan-1900. Please clear to avoid penalty.</v>
      </c>
    </row>
    <row r="254" spans="4:12" x14ac:dyDescent="0.35">
      <c r="D254">
        <f t="shared" si="20"/>
        <v>0</v>
      </c>
      <c r="E254">
        <f t="shared" si="21"/>
        <v>0</v>
      </c>
      <c r="H254">
        <f t="shared" ca="1" si="22"/>
        <v>46115</v>
      </c>
      <c r="J254" t="str">
        <f t="shared" ca="1" si="23"/>
        <v/>
      </c>
      <c r="L254" t="str">
        <f t="shared" si="24"/>
        <v>Hello , your loan of UGX  is due on 00-Jan-1900. Please clear to avoid penalty.</v>
      </c>
    </row>
    <row r="255" spans="4:12" x14ac:dyDescent="0.35">
      <c r="D255">
        <f t="shared" si="20"/>
        <v>0</v>
      </c>
      <c r="E255">
        <f t="shared" si="21"/>
        <v>0</v>
      </c>
      <c r="H255">
        <f t="shared" ca="1" si="22"/>
        <v>46115</v>
      </c>
      <c r="J255" t="str">
        <f t="shared" ca="1" si="23"/>
        <v/>
      </c>
      <c r="L255" t="str">
        <f t="shared" si="24"/>
        <v>Hello , your loan of UGX  is due on 00-Jan-1900. Please clear to avoid penalty.</v>
      </c>
    </row>
    <row r="256" spans="4:12" x14ac:dyDescent="0.35">
      <c r="D256">
        <f t="shared" si="20"/>
        <v>0</v>
      </c>
      <c r="E256">
        <f t="shared" si="21"/>
        <v>0</v>
      </c>
      <c r="H256">
        <f t="shared" ca="1" si="22"/>
        <v>46115</v>
      </c>
      <c r="J256" t="str">
        <f t="shared" ca="1" si="23"/>
        <v/>
      </c>
      <c r="L256" t="str">
        <f t="shared" si="24"/>
        <v>Hello , your loan of UGX  is due on 00-Jan-1900. Please clear to avoid penalty.</v>
      </c>
    </row>
    <row r="257" spans="4:12" x14ac:dyDescent="0.35">
      <c r="D257">
        <f t="shared" si="20"/>
        <v>0</v>
      </c>
      <c r="E257">
        <f t="shared" si="21"/>
        <v>0</v>
      </c>
      <c r="H257">
        <f t="shared" ca="1" si="22"/>
        <v>46115</v>
      </c>
      <c r="J257" t="str">
        <f t="shared" ca="1" si="23"/>
        <v/>
      </c>
      <c r="L257" t="str">
        <f t="shared" si="24"/>
        <v>Hello , your loan of UGX  is due on 00-Jan-1900. Please clear to avoid penalty.</v>
      </c>
    </row>
    <row r="258" spans="4:12" x14ac:dyDescent="0.35">
      <c r="D258">
        <f t="shared" si="20"/>
        <v>0</v>
      </c>
      <c r="E258">
        <f t="shared" si="21"/>
        <v>0</v>
      </c>
      <c r="H258">
        <f t="shared" ca="1" si="22"/>
        <v>46115</v>
      </c>
      <c r="J258" t="str">
        <f t="shared" ca="1" si="23"/>
        <v/>
      </c>
      <c r="L258" t="str">
        <f t="shared" si="24"/>
        <v>Hello , your loan of UGX  is due on 00-Jan-1900. Please clear to avoid penalty.</v>
      </c>
    </row>
    <row r="259" spans="4:12" x14ac:dyDescent="0.35">
      <c r="D259">
        <f t="shared" si="20"/>
        <v>0</v>
      </c>
      <c r="E259">
        <f t="shared" si="21"/>
        <v>0</v>
      </c>
      <c r="H259">
        <f t="shared" ca="1" si="22"/>
        <v>46115</v>
      </c>
      <c r="J259" t="str">
        <f t="shared" ca="1" si="23"/>
        <v/>
      </c>
      <c r="L259" t="str">
        <f t="shared" si="24"/>
        <v>Hello , your loan of UGX  is due on 00-Jan-1900. Please clear to avoid penalty.</v>
      </c>
    </row>
    <row r="260" spans="4:12" x14ac:dyDescent="0.35">
      <c r="D260">
        <f t="shared" si="20"/>
        <v>0</v>
      </c>
      <c r="E260">
        <f t="shared" si="21"/>
        <v>0</v>
      </c>
      <c r="H260">
        <f t="shared" ca="1" si="22"/>
        <v>46115</v>
      </c>
      <c r="J260" t="str">
        <f t="shared" ca="1" si="23"/>
        <v/>
      </c>
      <c r="L260" t="str">
        <f t="shared" si="24"/>
        <v>Hello , your loan of UGX  is due on 00-Jan-1900. Please clear to avoid penalty.</v>
      </c>
    </row>
    <row r="261" spans="4:12" x14ac:dyDescent="0.35">
      <c r="D261">
        <f t="shared" si="20"/>
        <v>0</v>
      </c>
      <c r="E261">
        <f t="shared" si="21"/>
        <v>0</v>
      </c>
      <c r="H261">
        <f t="shared" ca="1" si="22"/>
        <v>46115</v>
      </c>
      <c r="J261" t="str">
        <f t="shared" ca="1" si="23"/>
        <v/>
      </c>
      <c r="L261" t="str">
        <f t="shared" si="24"/>
        <v>Hello , your loan of UGX  is due on 00-Jan-1900. Please clear to avoid penalty.</v>
      </c>
    </row>
    <row r="262" spans="4:12" x14ac:dyDescent="0.35">
      <c r="D262">
        <f t="shared" si="20"/>
        <v>0</v>
      </c>
      <c r="E262">
        <f t="shared" si="21"/>
        <v>0</v>
      </c>
      <c r="H262">
        <f t="shared" ca="1" si="22"/>
        <v>46115</v>
      </c>
      <c r="J262" t="str">
        <f t="shared" ca="1" si="23"/>
        <v/>
      </c>
      <c r="L262" t="str">
        <f t="shared" si="24"/>
        <v>Hello , your loan of UGX  is due on 00-Jan-1900. Please clear to avoid penalty.</v>
      </c>
    </row>
    <row r="263" spans="4:12" x14ac:dyDescent="0.35">
      <c r="D263">
        <f t="shared" si="20"/>
        <v>0</v>
      </c>
      <c r="E263">
        <f t="shared" si="21"/>
        <v>0</v>
      </c>
      <c r="H263">
        <f t="shared" ca="1" si="22"/>
        <v>46115</v>
      </c>
      <c r="J263" t="str">
        <f t="shared" ca="1" si="23"/>
        <v/>
      </c>
      <c r="L263" t="str">
        <f t="shared" si="24"/>
        <v>Hello , your loan of UGX  is due on 00-Jan-1900. Please clear to avoid penalty.</v>
      </c>
    </row>
    <row r="264" spans="4:12" x14ac:dyDescent="0.35">
      <c r="D264">
        <f t="shared" si="20"/>
        <v>0</v>
      </c>
      <c r="E264">
        <f t="shared" si="21"/>
        <v>0</v>
      </c>
      <c r="H264">
        <f t="shared" ca="1" si="22"/>
        <v>46115</v>
      </c>
      <c r="J264" t="str">
        <f t="shared" ca="1" si="23"/>
        <v/>
      </c>
      <c r="L264" t="str">
        <f t="shared" si="24"/>
        <v>Hello , your loan of UGX  is due on 00-Jan-1900. Please clear to avoid penalty.</v>
      </c>
    </row>
    <row r="265" spans="4:12" x14ac:dyDescent="0.35">
      <c r="D265">
        <f t="shared" si="20"/>
        <v>0</v>
      </c>
      <c r="E265">
        <f t="shared" si="21"/>
        <v>0</v>
      </c>
      <c r="H265">
        <f t="shared" ca="1" si="22"/>
        <v>46115</v>
      </c>
      <c r="J265" t="str">
        <f t="shared" ca="1" si="23"/>
        <v/>
      </c>
      <c r="L265" t="str">
        <f t="shared" si="24"/>
        <v>Hello , your loan of UGX  is due on 00-Jan-1900. Please clear to avoid penalty.</v>
      </c>
    </row>
    <row r="266" spans="4:12" x14ac:dyDescent="0.35">
      <c r="D266">
        <f t="shared" si="20"/>
        <v>0</v>
      </c>
      <c r="E266">
        <f t="shared" si="21"/>
        <v>0</v>
      </c>
      <c r="H266">
        <f t="shared" ca="1" si="22"/>
        <v>46115</v>
      </c>
      <c r="J266" t="str">
        <f t="shared" ca="1" si="23"/>
        <v/>
      </c>
      <c r="L266" t="str">
        <f t="shared" si="24"/>
        <v>Hello , your loan of UGX  is due on 00-Jan-1900. Please clear to avoid penalty.</v>
      </c>
    </row>
    <row r="267" spans="4:12" x14ac:dyDescent="0.35">
      <c r="D267">
        <f t="shared" si="20"/>
        <v>0</v>
      </c>
      <c r="E267">
        <f t="shared" si="21"/>
        <v>0</v>
      </c>
      <c r="H267">
        <f t="shared" ca="1" si="22"/>
        <v>46115</v>
      </c>
      <c r="J267" t="str">
        <f t="shared" ca="1" si="23"/>
        <v/>
      </c>
      <c r="L267" t="str">
        <f t="shared" si="24"/>
        <v>Hello , your loan of UGX  is due on 00-Jan-1900. Please clear to avoid penalty.</v>
      </c>
    </row>
    <row r="268" spans="4:12" x14ac:dyDescent="0.35">
      <c r="D268">
        <f t="shared" si="20"/>
        <v>0</v>
      </c>
      <c r="E268">
        <f t="shared" si="21"/>
        <v>0</v>
      </c>
      <c r="H268">
        <f t="shared" ca="1" si="22"/>
        <v>46115</v>
      </c>
      <c r="J268" t="str">
        <f t="shared" ca="1" si="23"/>
        <v/>
      </c>
      <c r="L268" t="str">
        <f t="shared" si="24"/>
        <v>Hello , your loan of UGX  is due on 00-Jan-1900. Please clear to avoid penalty.</v>
      </c>
    </row>
    <row r="269" spans="4:12" x14ac:dyDescent="0.35">
      <c r="D269">
        <f t="shared" si="20"/>
        <v>0</v>
      </c>
      <c r="E269">
        <f t="shared" si="21"/>
        <v>0</v>
      </c>
      <c r="H269">
        <f t="shared" ca="1" si="22"/>
        <v>46115</v>
      </c>
      <c r="J269" t="str">
        <f t="shared" ca="1" si="23"/>
        <v/>
      </c>
      <c r="L269" t="str">
        <f t="shared" si="24"/>
        <v>Hello , your loan of UGX  is due on 00-Jan-1900. Please clear to avoid penalty.</v>
      </c>
    </row>
    <row r="270" spans="4:12" x14ac:dyDescent="0.35">
      <c r="D270">
        <f t="shared" si="20"/>
        <v>0</v>
      </c>
      <c r="E270">
        <f t="shared" si="21"/>
        <v>0</v>
      </c>
      <c r="H270">
        <f t="shared" ca="1" si="22"/>
        <v>46115</v>
      </c>
      <c r="J270" t="str">
        <f t="shared" ca="1" si="23"/>
        <v/>
      </c>
      <c r="L270" t="str">
        <f t="shared" si="24"/>
        <v>Hello , your loan of UGX  is due on 00-Jan-1900. Please clear to avoid penalty.</v>
      </c>
    </row>
    <row r="271" spans="4:12" x14ac:dyDescent="0.35">
      <c r="D271">
        <f t="shared" si="20"/>
        <v>0</v>
      </c>
      <c r="E271">
        <f t="shared" si="21"/>
        <v>0</v>
      </c>
      <c r="H271">
        <f t="shared" ca="1" si="22"/>
        <v>46115</v>
      </c>
      <c r="J271" t="str">
        <f t="shared" ca="1" si="23"/>
        <v/>
      </c>
      <c r="L271" t="str">
        <f t="shared" si="24"/>
        <v>Hello , your loan of UGX  is due on 00-Jan-1900. Please clear to avoid penalty.</v>
      </c>
    </row>
    <row r="272" spans="4:12" x14ac:dyDescent="0.35">
      <c r="D272">
        <f t="shared" si="20"/>
        <v>0</v>
      </c>
      <c r="E272">
        <f t="shared" si="21"/>
        <v>0</v>
      </c>
      <c r="H272">
        <f t="shared" ca="1" si="22"/>
        <v>46115</v>
      </c>
      <c r="J272" t="str">
        <f t="shared" ca="1" si="23"/>
        <v/>
      </c>
      <c r="L272" t="str">
        <f t="shared" si="24"/>
        <v>Hello , your loan of UGX  is due on 00-Jan-1900. Please clear to avoid penalty.</v>
      </c>
    </row>
    <row r="273" spans="4:12" x14ac:dyDescent="0.35">
      <c r="D273">
        <f t="shared" si="20"/>
        <v>0</v>
      </c>
      <c r="E273">
        <f t="shared" si="21"/>
        <v>0</v>
      </c>
      <c r="H273">
        <f t="shared" ca="1" si="22"/>
        <v>46115</v>
      </c>
      <c r="J273" t="str">
        <f t="shared" ca="1" si="23"/>
        <v/>
      </c>
      <c r="L273" t="str">
        <f t="shared" si="24"/>
        <v>Hello , your loan of UGX  is due on 00-Jan-1900. Please clear to avoid penalty.</v>
      </c>
    </row>
    <row r="274" spans="4:12" x14ac:dyDescent="0.35">
      <c r="D274">
        <f t="shared" si="20"/>
        <v>0</v>
      </c>
      <c r="E274">
        <f t="shared" si="21"/>
        <v>0</v>
      </c>
      <c r="H274">
        <f t="shared" ca="1" si="22"/>
        <v>46115</v>
      </c>
      <c r="J274" t="str">
        <f t="shared" ca="1" si="23"/>
        <v/>
      </c>
      <c r="L274" t="str">
        <f t="shared" si="24"/>
        <v>Hello , your loan of UGX  is due on 00-Jan-1900. Please clear to avoid penalty.</v>
      </c>
    </row>
    <row r="275" spans="4:12" x14ac:dyDescent="0.35">
      <c r="D275">
        <f t="shared" si="20"/>
        <v>0</v>
      </c>
      <c r="E275">
        <f t="shared" si="21"/>
        <v>0</v>
      </c>
      <c r="H275">
        <f t="shared" ca="1" si="22"/>
        <v>46115</v>
      </c>
      <c r="J275" t="str">
        <f t="shared" ca="1" si="23"/>
        <v/>
      </c>
      <c r="L275" t="str">
        <f t="shared" si="24"/>
        <v>Hello , your loan of UGX  is due on 00-Jan-1900. Please clear to avoid penalty.</v>
      </c>
    </row>
    <row r="276" spans="4:12" x14ac:dyDescent="0.35">
      <c r="D276">
        <f t="shared" si="20"/>
        <v>0</v>
      </c>
      <c r="E276">
        <f t="shared" si="21"/>
        <v>0</v>
      </c>
      <c r="H276">
        <f t="shared" ca="1" si="22"/>
        <v>46115</v>
      </c>
      <c r="J276" t="str">
        <f t="shared" ca="1" si="23"/>
        <v/>
      </c>
      <c r="L276" t="str">
        <f t="shared" si="24"/>
        <v>Hello , your loan of UGX  is due on 00-Jan-1900. Please clear to avoid penalty.</v>
      </c>
    </row>
    <row r="277" spans="4:12" x14ac:dyDescent="0.35">
      <c r="D277">
        <f t="shared" si="20"/>
        <v>0</v>
      </c>
      <c r="E277">
        <f t="shared" si="21"/>
        <v>0</v>
      </c>
      <c r="H277">
        <f t="shared" ca="1" si="22"/>
        <v>46115</v>
      </c>
      <c r="J277" t="str">
        <f t="shared" ca="1" si="23"/>
        <v/>
      </c>
      <c r="L277" t="str">
        <f t="shared" si="24"/>
        <v>Hello , your loan of UGX  is due on 00-Jan-1900. Please clear to avoid penalty.</v>
      </c>
    </row>
    <row r="278" spans="4:12" x14ac:dyDescent="0.35">
      <c r="D278">
        <f t="shared" si="20"/>
        <v>0</v>
      </c>
      <c r="E278">
        <f t="shared" si="21"/>
        <v>0</v>
      </c>
      <c r="H278">
        <f t="shared" ca="1" si="22"/>
        <v>46115</v>
      </c>
      <c r="J278" t="str">
        <f t="shared" ca="1" si="23"/>
        <v/>
      </c>
      <c r="L278" t="str">
        <f t="shared" si="24"/>
        <v>Hello , your loan of UGX  is due on 00-Jan-1900. Please clear to avoid penalty.</v>
      </c>
    </row>
    <row r="279" spans="4:12" x14ac:dyDescent="0.35">
      <c r="D279">
        <f t="shared" si="20"/>
        <v>0</v>
      </c>
      <c r="E279">
        <f t="shared" si="21"/>
        <v>0</v>
      </c>
      <c r="H279">
        <f t="shared" ca="1" si="22"/>
        <v>46115</v>
      </c>
      <c r="J279" t="str">
        <f t="shared" ca="1" si="23"/>
        <v/>
      </c>
      <c r="L279" t="str">
        <f t="shared" si="24"/>
        <v>Hello , your loan of UGX  is due on 00-Jan-1900. Please clear to avoid penalty.</v>
      </c>
    </row>
    <row r="280" spans="4:12" x14ac:dyDescent="0.35">
      <c r="D280">
        <f t="shared" si="20"/>
        <v>0</v>
      </c>
      <c r="E280">
        <f t="shared" si="21"/>
        <v>0</v>
      </c>
      <c r="H280">
        <f t="shared" ca="1" si="22"/>
        <v>46115</v>
      </c>
      <c r="J280" t="str">
        <f t="shared" ca="1" si="23"/>
        <v/>
      </c>
      <c r="L280" t="str">
        <f t="shared" si="24"/>
        <v>Hello , your loan of UGX  is due on 00-Jan-1900. Please clear to avoid penalty.</v>
      </c>
    </row>
    <row r="281" spans="4:12" x14ac:dyDescent="0.35">
      <c r="D281">
        <f t="shared" si="20"/>
        <v>0</v>
      </c>
      <c r="E281">
        <f t="shared" si="21"/>
        <v>0</v>
      </c>
      <c r="H281">
        <f t="shared" ca="1" si="22"/>
        <v>46115</v>
      </c>
      <c r="J281" t="str">
        <f t="shared" ca="1" si="23"/>
        <v/>
      </c>
      <c r="L281" t="str">
        <f t="shared" si="24"/>
        <v>Hello , your loan of UGX  is due on 00-Jan-1900. Please clear to avoid penalty.</v>
      </c>
    </row>
    <row r="282" spans="4:12" x14ac:dyDescent="0.35">
      <c r="D282">
        <f t="shared" si="20"/>
        <v>0</v>
      </c>
      <c r="E282">
        <f t="shared" si="21"/>
        <v>0</v>
      </c>
      <c r="H282">
        <f t="shared" ca="1" si="22"/>
        <v>46115</v>
      </c>
      <c r="J282" t="str">
        <f t="shared" ca="1" si="23"/>
        <v/>
      </c>
      <c r="L282" t="str">
        <f t="shared" si="24"/>
        <v>Hello , your loan of UGX  is due on 00-Jan-1900. Please clear to avoid penalty.</v>
      </c>
    </row>
    <row r="283" spans="4:12" x14ac:dyDescent="0.35">
      <c r="D283">
        <f t="shared" si="20"/>
        <v>0</v>
      </c>
      <c r="E283">
        <f t="shared" si="21"/>
        <v>0</v>
      </c>
      <c r="H283">
        <f t="shared" ca="1" si="22"/>
        <v>46115</v>
      </c>
      <c r="J283" t="str">
        <f t="shared" ca="1" si="23"/>
        <v/>
      </c>
      <c r="L283" t="str">
        <f t="shared" si="24"/>
        <v>Hello , your loan of UGX  is due on 00-Jan-1900. Please clear to avoid penalty.</v>
      </c>
    </row>
    <row r="284" spans="4:12" x14ac:dyDescent="0.35">
      <c r="D284">
        <f t="shared" si="20"/>
        <v>0</v>
      </c>
      <c r="E284">
        <f t="shared" si="21"/>
        <v>0</v>
      </c>
      <c r="H284">
        <f t="shared" ca="1" si="22"/>
        <v>46115</v>
      </c>
      <c r="J284" t="str">
        <f t="shared" ca="1" si="23"/>
        <v/>
      </c>
      <c r="L284" t="str">
        <f t="shared" si="24"/>
        <v>Hello , your loan of UGX  is due on 00-Jan-1900. Please clear to avoid penalty.</v>
      </c>
    </row>
    <row r="285" spans="4:12" x14ac:dyDescent="0.35">
      <c r="D285">
        <f t="shared" si="20"/>
        <v>0</v>
      </c>
      <c r="E285">
        <f t="shared" si="21"/>
        <v>0</v>
      </c>
      <c r="H285">
        <f t="shared" ca="1" si="22"/>
        <v>46115</v>
      </c>
      <c r="J285" t="str">
        <f t="shared" ca="1" si="23"/>
        <v/>
      </c>
      <c r="L285" t="str">
        <f t="shared" si="24"/>
        <v>Hello , your loan of UGX  is due on 00-Jan-1900. Please clear to avoid penalty.</v>
      </c>
    </row>
    <row r="286" spans="4:12" x14ac:dyDescent="0.35">
      <c r="D286">
        <f t="shared" si="20"/>
        <v>0</v>
      </c>
      <c r="E286">
        <f t="shared" si="21"/>
        <v>0</v>
      </c>
      <c r="H286">
        <f t="shared" ca="1" si="22"/>
        <v>46115</v>
      </c>
      <c r="J286" t="str">
        <f t="shared" ca="1" si="23"/>
        <v/>
      </c>
      <c r="L286" t="str">
        <f t="shared" si="24"/>
        <v>Hello , your loan of UGX  is due on 00-Jan-1900. Please clear to avoid penalty.</v>
      </c>
    </row>
    <row r="287" spans="4:12" x14ac:dyDescent="0.35">
      <c r="D287">
        <f t="shared" si="20"/>
        <v>0</v>
      </c>
      <c r="E287">
        <f t="shared" si="21"/>
        <v>0</v>
      </c>
      <c r="H287">
        <f t="shared" ca="1" si="22"/>
        <v>46115</v>
      </c>
      <c r="J287" t="str">
        <f t="shared" ca="1" si="23"/>
        <v/>
      </c>
      <c r="L287" t="str">
        <f t="shared" si="24"/>
        <v>Hello , your loan of UGX  is due on 00-Jan-1900. Please clear to avoid penalty.</v>
      </c>
    </row>
    <row r="288" spans="4:12" x14ac:dyDescent="0.35">
      <c r="D288">
        <f t="shared" si="20"/>
        <v>0</v>
      </c>
      <c r="E288">
        <f t="shared" si="21"/>
        <v>0</v>
      </c>
      <c r="H288">
        <f t="shared" ca="1" si="22"/>
        <v>46115</v>
      </c>
      <c r="J288" t="str">
        <f t="shared" ca="1" si="23"/>
        <v/>
      </c>
      <c r="L288" t="str">
        <f t="shared" si="24"/>
        <v>Hello , your loan of UGX  is due on 00-Jan-1900. Please clear to avoid penalty.</v>
      </c>
    </row>
    <row r="289" spans="4:12" x14ac:dyDescent="0.35">
      <c r="D289">
        <f t="shared" si="20"/>
        <v>0</v>
      </c>
      <c r="E289">
        <f t="shared" si="21"/>
        <v>0</v>
      </c>
      <c r="H289">
        <f t="shared" ca="1" si="22"/>
        <v>46115</v>
      </c>
      <c r="J289" t="str">
        <f t="shared" ca="1" si="23"/>
        <v/>
      </c>
      <c r="L289" t="str">
        <f t="shared" si="24"/>
        <v>Hello , your loan of UGX  is due on 00-Jan-1900. Please clear to avoid penalty.</v>
      </c>
    </row>
    <row r="290" spans="4:12" x14ac:dyDescent="0.35">
      <c r="D290">
        <f t="shared" si="20"/>
        <v>0</v>
      </c>
      <c r="E290">
        <f t="shared" si="21"/>
        <v>0</v>
      </c>
      <c r="H290">
        <f t="shared" ca="1" si="22"/>
        <v>46115</v>
      </c>
      <c r="J290" t="str">
        <f t="shared" ca="1" si="23"/>
        <v/>
      </c>
      <c r="L290" t="str">
        <f t="shared" si="24"/>
        <v>Hello , your loan of UGX  is due on 00-Jan-1900. Please clear to avoid penalty.</v>
      </c>
    </row>
    <row r="291" spans="4:12" x14ac:dyDescent="0.35">
      <c r="D291">
        <f t="shared" si="20"/>
        <v>0</v>
      </c>
      <c r="E291">
        <f t="shared" si="21"/>
        <v>0</v>
      </c>
      <c r="H291">
        <f t="shared" ca="1" si="22"/>
        <v>46115</v>
      </c>
      <c r="J291" t="str">
        <f t="shared" ca="1" si="23"/>
        <v/>
      </c>
      <c r="L291" t="str">
        <f t="shared" si="24"/>
        <v>Hello , your loan of UGX  is due on 00-Jan-1900. Please clear to avoid penalty.</v>
      </c>
    </row>
    <row r="292" spans="4:12" x14ac:dyDescent="0.35">
      <c r="D292">
        <f t="shared" si="20"/>
        <v>0</v>
      </c>
      <c r="E292">
        <f t="shared" si="21"/>
        <v>0</v>
      </c>
      <c r="H292">
        <f t="shared" ca="1" si="22"/>
        <v>46115</v>
      </c>
      <c r="J292" t="str">
        <f t="shared" ca="1" si="23"/>
        <v/>
      </c>
      <c r="L292" t="str">
        <f t="shared" si="24"/>
        <v>Hello , your loan of UGX  is due on 00-Jan-1900. Please clear to avoid penalty.</v>
      </c>
    </row>
    <row r="293" spans="4:12" x14ac:dyDescent="0.35">
      <c r="D293">
        <f t="shared" si="20"/>
        <v>0</v>
      </c>
      <c r="E293">
        <f t="shared" si="21"/>
        <v>0</v>
      </c>
      <c r="H293">
        <f t="shared" ca="1" si="22"/>
        <v>46115</v>
      </c>
      <c r="J293" t="str">
        <f t="shared" ca="1" si="23"/>
        <v/>
      </c>
      <c r="L293" t="str">
        <f t="shared" si="24"/>
        <v>Hello , your loan of UGX  is due on 00-Jan-1900. Please clear to avoid penalty.</v>
      </c>
    </row>
    <row r="294" spans="4:12" x14ac:dyDescent="0.35">
      <c r="D294">
        <f t="shared" si="20"/>
        <v>0</v>
      </c>
      <c r="E294">
        <f t="shared" si="21"/>
        <v>0</v>
      </c>
      <c r="H294">
        <f t="shared" ca="1" si="22"/>
        <v>46115</v>
      </c>
      <c r="J294" t="str">
        <f t="shared" ca="1" si="23"/>
        <v/>
      </c>
      <c r="L294" t="str">
        <f t="shared" si="24"/>
        <v>Hello , your loan of UGX  is due on 00-Jan-1900. Please clear to avoid penalty.</v>
      </c>
    </row>
    <row r="295" spans="4:12" x14ac:dyDescent="0.35">
      <c r="D295">
        <f t="shared" si="20"/>
        <v>0</v>
      </c>
      <c r="E295">
        <f t="shared" si="21"/>
        <v>0</v>
      </c>
      <c r="H295">
        <f t="shared" ca="1" si="22"/>
        <v>46115</v>
      </c>
      <c r="J295" t="str">
        <f t="shared" ca="1" si="23"/>
        <v/>
      </c>
      <c r="L295" t="str">
        <f t="shared" si="24"/>
        <v>Hello , your loan of UGX  is due on 00-Jan-1900. Please clear to avoid penalty.</v>
      </c>
    </row>
    <row r="296" spans="4:12" x14ac:dyDescent="0.35">
      <c r="D296">
        <f t="shared" si="20"/>
        <v>0</v>
      </c>
      <c r="E296">
        <f t="shared" si="21"/>
        <v>0</v>
      </c>
      <c r="H296">
        <f t="shared" ca="1" si="22"/>
        <v>46115</v>
      </c>
      <c r="J296" t="str">
        <f t="shared" ca="1" si="23"/>
        <v/>
      </c>
      <c r="L296" t="str">
        <f t="shared" si="24"/>
        <v>Hello , your loan of UGX  is due on 00-Jan-1900. Please clear to avoid penalty.</v>
      </c>
    </row>
    <row r="297" spans="4:12" x14ac:dyDescent="0.35">
      <c r="D297">
        <f t="shared" si="20"/>
        <v>0</v>
      </c>
      <c r="E297">
        <f t="shared" si="21"/>
        <v>0</v>
      </c>
      <c r="H297">
        <f t="shared" ca="1" si="22"/>
        <v>46115</v>
      </c>
      <c r="J297" t="str">
        <f t="shared" ca="1" si="23"/>
        <v/>
      </c>
      <c r="L297" t="str">
        <f t="shared" si="24"/>
        <v>Hello , your loan of UGX  is due on 00-Jan-1900. Please clear to avoid penalty.</v>
      </c>
    </row>
    <row r="298" spans="4:12" x14ac:dyDescent="0.35">
      <c r="D298">
        <f t="shared" si="20"/>
        <v>0</v>
      </c>
      <c r="E298">
        <f t="shared" si="21"/>
        <v>0</v>
      </c>
      <c r="H298">
        <f t="shared" ca="1" si="22"/>
        <v>46115</v>
      </c>
      <c r="J298" t="str">
        <f t="shared" ca="1" si="23"/>
        <v/>
      </c>
      <c r="L298" t="str">
        <f t="shared" si="24"/>
        <v>Hello , your loan of UGX  is due on 00-Jan-1900. Please clear to avoid penalty.</v>
      </c>
    </row>
    <row r="299" spans="4:12" x14ac:dyDescent="0.35">
      <c r="D299">
        <f t="shared" si="20"/>
        <v>0</v>
      </c>
      <c r="E299">
        <f t="shared" si="21"/>
        <v>0</v>
      </c>
      <c r="H299">
        <f t="shared" ca="1" si="22"/>
        <v>46115</v>
      </c>
      <c r="J299" t="str">
        <f t="shared" ca="1" si="23"/>
        <v/>
      </c>
      <c r="L299" t="str">
        <f t="shared" si="24"/>
        <v>Hello , your loan of UGX  is due on 00-Jan-1900. Please clear to avoid penalty.</v>
      </c>
    </row>
    <row r="300" spans="4:12" x14ac:dyDescent="0.35">
      <c r="D300">
        <f t="shared" si="20"/>
        <v>0</v>
      </c>
      <c r="E300">
        <f t="shared" si="21"/>
        <v>0</v>
      </c>
      <c r="H300">
        <f t="shared" ca="1" si="22"/>
        <v>46115</v>
      </c>
      <c r="J300" t="str">
        <f t="shared" ca="1" si="23"/>
        <v/>
      </c>
      <c r="L300" t="str">
        <f t="shared" si="24"/>
        <v>Hello , your loan of UGX  is due on 00-Jan-1900. Please clear to avoid penalty.</v>
      </c>
    </row>
    <row r="301" spans="4:12" x14ac:dyDescent="0.35">
      <c r="D301">
        <f t="shared" si="20"/>
        <v>0</v>
      </c>
      <c r="E301">
        <f t="shared" si="21"/>
        <v>0</v>
      </c>
      <c r="H301">
        <f t="shared" ca="1" si="22"/>
        <v>46115</v>
      </c>
      <c r="J301" t="str">
        <f t="shared" ca="1" si="23"/>
        <v/>
      </c>
      <c r="L301" t="str">
        <f t="shared" si="24"/>
        <v>Hello , your loan of UGX  is due on 00-Jan-1900. Please clear to avoid penalty.</v>
      </c>
    </row>
    <row r="302" spans="4:12" x14ac:dyDescent="0.35">
      <c r="D302">
        <f t="shared" si="20"/>
        <v>0</v>
      </c>
      <c r="E302">
        <f t="shared" si="21"/>
        <v>0</v>
      </c>
      <c r="H302">
        <f t="shared" ca="1" si="22"/>
        <v>46115</v>
      </c>
      <c r="J302" t="str">
        <f t="shared" ca="1" si="23"/>
        <v/>
      </c>
      <c r="L302" t="str">
        <f t="shared" si="24"/>
        <v>Hello , your loan of UGX  is due on 00-Jan-1900. Please clear to avoid penalty.</v>
      </c>
    </row>
    <row r="303" spans="4:12" x14ac:dyDescent="0.35">
      <c r="D303">
        <f t="shared" si="20"/>
        <v>0</v>
      </c>
      <c r="E303">
        <f t="shared" si="21"/>
        <v>0</v>
      </c>
      <c r="H303">
        <f t="shared" ca="1" si="22"/>
        <v>46115</v>
      </c>
      <c r="J303" t="str">
        <f t="shared" ca="1" si="23"/>
        <v/>
      </c>
      <c r="L303" t="str">
        <f t="shared" si="24"/>
        <v>Hello , your loan of UGX  is due on 00-Jan-1900. Please clear to avoid penalty.</v>
      </c>
    </row>
    <row r="304" spans="4:12" x14ac:dyDescent="0.35">
      <c r="D304">
        <f t="shared" si="20"/>
        <v>0</v>
      </c>
      <c r="E304">
        <f t="shared" si="21"/>
        <v>0</v>
      </c>
      <c r="H304">
        <f t="shared" ca="1" si="22"/>
        <v>46115</v>
      </c>
      <c r="J304" t="str">
        <f t="shared" ca="1" si="23"/>
        <v/>
      </c>
      <c r="L304" t="str">
        <f t="shared" si="24"/>
        <v>Hello , your loan of UGX  is due on 00-Jan-1900. Please clear to avoid penalty.</v>
      </c>
    </row>
    <row r="305" spans="4:12" x14ac:dyDescent="0.35">
      <c r="D305">
        <f t="shared" ref="D305:D368" si="25">C305*0.4</f>
        <v>0</v>
      </c>
      <c r="E305">
        <f t="shared" ref="E305:E368" si="26">C305+D305</f>
        <v>0</v>
      </c>
      <c r="H305">
        <f t="shared" ref="H305:H368" ca="1" si="27">IF(TODAY()&gt;G305, TODAY()-G305, 0)</f>
        <v>46115</v>
      </c>
      <c r="J305" t="str">
        <f t="shared" ref="J305:J368" ca="1" si="28">IF(J305="Closed","Closed",IF(TODAY()&gt;G305,"Late",IF(TODAY()=G305,"Due Today","Active")))</f>
        <v/>
      </c>
      <c r="L305" t="str">
        <f t="shared" ref="L305:L368" si="29">"Hello "&amp;A305&amp;", your loan of UGX "&amp;C305&amp;" is due on "&amp;TEXT(G305,"dd-mmm-yyyy")&amp;". Please clear to avoid penalty."</f>
        <v>Hello , your loan of UGX  is due on 00-Jan-1900. Please clear to avoid penalty.</v>
      </c>
    </row>
    <row r="306" spans="4:12" x14ac:dyDescent="0.35">
      <c r="D306">
        <f t="shared" si="25"/>
        <v>0</v>
      </c>
      <c r="E306">
        <f t="shared" si="26"/>
        <v>0</v>
      </c>
      <c r="H306">
        <f t="shared" ca="1" si="27"/>
        <v>46115</v>
      </c>
      <c r="J306" t="str">
        <f t="shared" ca="1" si="28"/>
        <v/>
      </c>
      <c r="L306" t="str">
        <f t="shared" si="29"/>
        <v>Hello , your loan of UGX  is due on 00-Jan-1900. Please clear to avoid penalty.</v>
      </c>
    </row>
    <row r="307" spans="4:12" x14ac:dyDescent="0.35">
      <c r="D307">
        <f t="shared" si="25"/>
        <v>0</v>
      </c>
      <c r="E307">
        <f t="shared" si="26"/>
        <v>0</v>
      </c>
      <c r="H307">
        <f t="shared" ca="1" si="27"/>
        <v>46115</v>
      </c>
      <c r="J307" t="str">
        <f t="shared" ca="1" si="28"/>
        <v/>
      </c>
      <c r="L307" t="str">
        <f t="shared" si="29"/>
        <v>Hello , your loan of UGX  is due on 00-Jan-1900. Please clear to avoid penalty.</v>
      </c>
    </row>
    <row r="308" spans="4:12" x14ac:dyDescent="0.35">
      <c r="D308">
        <f t="shared" si="25"/>
        <v>0</v>
      </c>
      <c r="E308">
        <f t="shared" si="26"/>
        <v>0</v>
      </c>
      <c r="H308">
        <f t="shared" ca="1" si="27"/>
        <v>46115</v>
      </c>
      <c r="J308" t="str">
        <f t="shared" ca="1" si="28"/>
        <v/>
      </c>
      <c r="L308" t="str">
        <f t="shared" si="29"/>
        <v>Hello , your loan of UGX  is due on 00-Jan-1900. Please clear to avoid penalty.</v>
      </c>
    </row>
    <row r="309" spans="4:12" x14ac:dyDescent="0.35">
      <c r="D309">
        <f t="shared" si="25"/>
        <v>0</v>
      </c>
      <c r="E309">
        <f t="shared" si="26"/>
        <v>0</v>
      </c>
      <c r="H309">
        <f t="shared" ca="1" si="27"/>
        <v>46115</v>
      </c>
      <c r="J309" t="str">
        <f t="shared" ca="1" si="28"/>
        <v/>
      </c>
      <c r="L309" t="str">
        <f t="shared" si="29"/>
        <v>Hello , your loan of UGX  is due on 00-Jan-1900. Please clear to avoid penalty.</v>
      </c>
    </row>
    <row r="310" spans="4:12" x14ac:dyDescent="0.35">
      <c r="D310">
        <f t="shared" si="25"/>
        <v>0</v>
      </c>
      <c r="E310">
        <f t="shared" si="26"/>
        <v>0</v>
      </c>
      <c r="H310">
        <f t="shared" ca="1" si="27"/>
        <v>46115</v>
      </c>
      <c r="J310" t="str">
        <f t="shared" ca="1" si="28"/>
        <v/>
      </c>
      <c r="L310" t="str">
        <f t="shared" si="29"/>
        <v>Hello , your loan of UGX  is due on 00-Jan-1900. Please clear to avoid penalty.</v>
      </c>
    </row>
    <row r="311" spans="4:12" x14ac:dyDescent="0.35">
      <c r="D311">
        <f t="shared" si="25"/>
        <v>0</v>
      </c>
      <c r="E311">
        <f t="shared" si="26"/>
        <v>0</v>
      </c>
      <c r="H311">
        <f t="shared" ca="1" si="27"/>
        <v>46115</v>
      </c>
      <c r="J311" t="str">
        <f t="shared" ca="1" si="28"/>
        <v/>
      </c>
      <c r="L311" t="str">
        <f t="shared" si="29"/>
        <v>Hello , your loan of UGX  is due on 00-Jan-1900. Please clear to avoid penalty.</v>
      </c>
    </row>
    <row r="312" spans="4:12" x14ac:dyDescent="0.35">
      <c r="D312">
        <f t="shared" si="25"/>
        <v>0</v>
      </c>
      <c r="E312">
        <f t="shared" si="26"/>
        <v>0</v>
      </c>
      <c r="H312">
        <f t="shared" ca="1" si="27"/>
        <v>46115</v>
      </c>
      <c r="J312" t="str">
        <f t="shared" ca="1" si="28"/>
        <v/>
      </c>
      <c r="L312" t="str">
        <f t="shared" si="29"/>
        <v>Hello , your loan of UGX  is due on 00-Jan-1900. Please clear to avoid penalty.</v>
      </c>
    </row>
    <row r="313" spans="4:12" x14ac:dyDescent="0.35">
      <c r="D313">
        <f t="shared" si="25"/>
        <v>0</v>
      </c>
      <c r="E313">
        <f t="shared" si="26"/>
        <v>0</v>
      </c>
      <c r="H313">
        <f t="shared" ca="1" si="27"/>
        <v>46115</v>
      </c>
      <c r="J313" t="str">
        <f t="shared" ca="1" si="28"/>
        <v/>
      </c>
      <c r="L313" t="str">
        <f t="shared" si="29"/>
        <v>Hello , your loan of UGX  is due on 00-Jan-1900. Please clear to avoid penalty.</v>
      </c>
    </row>
    <row r="314" spans="4:12" x14ac:dyDescent="0.35">
      <c r="D314">
        <f t="shared" si="25"/>
        <v>0</v>
      </c>
      <c r="E314">
        <f t="shared" si="26"/>
        <v>0</v>
      </c>
      <c r="H314">
        <f t="shared" ca="1" si="27"/>
        <v>46115</v>
      </c>
      <c r="J314" t="str">
        <f t="shared" ca="1" si="28"/>
        <v/>
      </c>
      <c r="L314" t="str">
        <f t="shared" si="29"/>
        <v>Hello , your loan of UGX  is due on 00-Jan-1900. Please clear to avoid penalty.</v>
      </c>
    </row>
    <row r="315" spans="4:12" x14ac:dyDescent="0.35">
      <c r="D315">
        <f t="shared" si="25"/>
        <v>0</v>
      </c>
      <c r="E315">
        <f t="shared" si="26"/>
        <v>0</v>
      </c>
      <c r="H315">
        <f t="shared" ca="1" si="27"/>
        <v>46115</v>
      </c>
      <c r="J315" t="str">
        <f t="shared" ca="1" si="28"/>
        <v/>
      </c>
      <c r="L315" t="str">
        <f t="shared" si="29"/>
        <v>Hello , your loan of UGX  is due on 00-Jan-1900. Please clear to avoid penalty.</v>
      </c>
    </row>
    <row r="316" spans="4:12" x14ac:dyDescent="0.35">
      <c r="D316">
        <f t="shared" si="25"/>
        <v>0</v>
      </c>
      <c r="E316">
        <f t="shared" si="26"/>
        <v>0</v>
      </c>
      <c r="H316">
        <f t="shared" ca="1" si="27"/>
        <v>46115</v>
      </c>
      <c r="J316" t="str">
        <f t="shared" ca="1" si="28"/>
        <v/>
      </c>
      <c r="L316" t="str">
        <f t="shared" si="29"/>
        <v>Hello , your loan of UGX  is due on 00-Jan-1900. Please clear to avoid penalty.</v>
      </c>
    </row>
    <row r="317" spans="4:12" x14ac:dyDescent="0.35">
      <c r="D317">
        <f t="shared" si="25"/>
        <v>0</v>
      </c>
      <c r="E317">
        <f t="shared" si="26"/>
        <v>0</v>
      </c>
      <c r="H317">
        <f t="shared" ca="1" si="27"/>
        <v>46115</v>
      </c>
      <c r="J317" t="str">
        <f t="shared" ca="1" si="28"/>
        <v/>
      </c>
      <c r="L317" t="str">
        <f t="shared" si="29"/>
        <v>Hello , your loan of UGX  is due on 00-Jan-1900. Please clear to avoid penalty.</v>
      </c>
    </row>
    <row r="318" spans="4:12" x14ac:dyDescent="0.35">
      <c r="D318">
        <f t="shared" si="25"/>
        <v>0</v>
      </c>
      <c r="E318">
        <f t="shared" si="26"/>
        <v>0</v>
      </c>
      <c r="H318">
        <f t="shared" ca="1" si="27"/>
        <v>46115</v>
      </c>
      <c r="J318" t="str">
        <f t="shared" ca="1" si="28"/>
        <v/>
      </c>
      <c r="L318" t="str">
        <f t="shared" si="29"/>
        <v>Hello , your loan of UGX  is due on 00-Jan-1900. Please clear to avoid penalty.</v>
      </c>
    </row>
    <row r="319" spans="4:12" x14ac:dyDescent="0.35">
      <c r="D319">
        <f t="shared" si="25"/>
        <v>0</v>
      </c>
      <c r="E319">
        <f t="shared" si="26"/>
        <v>0</v>
      </c>
      <c r="H319">
        <f t="shared" ca="1" si="27"/>
        <v>46115</v>
      </c>
      <c r="J319" t="str">
        <f t="shared" ca="1" si="28"/>
        <v/>
      </c>
      <c r="L319" t="str">
        <f t="shared" si="29"/>
        <v>Hello , your loan of UGX  is due on 00-Jan-1900. Please clear to avoid penalty.</v>
      </c>
    </row>
    <row r="320" spans="4:12" x14ac:dyDescent="0.35">
      <c r="D320">
        <f t="shared" si="25"/>
        <v>0</v>
      </c>
      <c r="E320">
        <f t="shared" si="26"/>
        <v>0</v>
      </c>
      <c r="H320">
        <f t="shared" ca="1" si="27"/>
        <v>46115</v>
      </c>
      <c r="J320" t="str">
        <f t="shared" ca="1" si="28"/>
        <v/>
      </c>
      <c r="L320" t="str">
        <f t="shared" si="29"/>
        <v>Hello , your loan of UGX  is due on 00-Jan-1900. Please clear to avoid penalty.</v>
      </c>
    </row>
    <row r="321" spans="4:12" x14ac:dyDescent="0.35">
      <c r="D321">
        <f t="shared" si="25"/>
        <v>0</v>
      </c>
      <c r="E321">
        <f t="shared" si="26"/>
        <v>0</v>
      </c>
      <c r="H321">
        <f t="shared" ca="1" si="27"/>
        <v>46115</v>
      </c>
      <c r="J321" t="str">
        <f t="shared" ca="1" si="28"/>
        <v/>
      </c>
      <c r="L321" t="str">
        <f t="shared" si="29"/>
        <v>Hello , your loan of UGX  is due on 00-Jan-1900. Please clear to avoid penalty.</v>
      </c>
    </row>
    <row r="322" spans="4:12" x14ac:dyDescent="0.35">
      <c r="D322">
        <f t="shared" si="25"/>
        <v>0</v>
      </c>
      <c r="E322">
        <f t="shared" si="26"/>
        <v>0</v>
      </c>
      <c r="H322">
        <f t="shared" ca="1" si="27"/>
        <v>46115</v>
      </c>
      <c r="J322" t="str">
        <f t="shared" ca="1" si="28"/>
        <v/>
      </c>
      <c r="L322" t="str">
        <f t="shared" si="29"/>
        <v>Hello , your loan of UGX  is due on 00-Jan-1900. Please clear to avoid penalty.</v>
      </c>
    </row>
    <row r="323" spans="4:12" x14ac:dyDescent="0.35">
      <c r="D323">
        <f t="shared" si="25"/>
        <v>0</v>
      </c>
      <c r="E323">
        <f t="shared" si="26"/>
        <v>0</v>
      </c>
      <c r="H323">
        <f t="shared" ca="1" si="27"/>
        <v>46115</v>
      </c>
      <c r="J323" t="str">
        <f t="shared" ca="1" si="28"/>
        <v/>
      </c>
      <c r="L323" t="str">
        <f t="shared" si="29"/>
        <v>Hello , your loan of UGX  is due on 00-Jan-1900. Please clear to avoid penalty.</v>
      </c>
    </row>
    <row r="324" spans="4:12" x14ac:dyDescent="0.35">
      <c r="D324">
        <f t="shared" si="25"/>
        <v>0</v>
      </c>
      <c r="E324">
        <f t="shared" si="26"/>
        <v>0</v>
      </c>
      <c r="H324">
        <f t="shared" ca="1" si="27"/>
        <v>46115</v>
      </c>
      <c r="J324" t="str">
        <f t="shared" ca="1" si="28"/>
        <v/>
      </c>
      <c r="L324" t="str">
        <f t="shared" si="29"/>
        <v>Hello , your loan of UGX  is due on 00-Jan-1900. Please clear to avoid penalty.</v>
      </c>
    </row>
    <row r="325" spans="4:12" x14ac:dyDescent="0.35">
      <c r="D325">
        <f t="shared" si="25"/>
        <v>0</v>
      </c>
      <c r="E325">
        <f t="shared" si="26"/>
        <v>0</v>
      </c>
      <c r="H325">
        <f t="shared" ca="1" si="27"/>
        <v>46115</v>
      </c>
      <c r="J325" t="str">
        <f t="shared" ca="1" si="28"/>
        <v/>
      </c>
      <c r="L325" t="str">
        <f t="shared" si="29"/>
        <v>Hello , your loan of UGX  is due on 00-Jan-1900. Please clear to avoid penalty.</v>
      </c>
    </row>
    <row r="326" spans="4:12" x14ac:dyDescent="0.35">
      <c r="D326">
        <f t="shared" si="25"/>
        <v>0</v>
      </c>
      <c r="E326">
        <f t="shared" si="26"/>
        <v>0</v>
      </c>
      <c r="H326">
        <f t="shared" ca="1" si="27"/>
        <v>46115</v>
      </c>
      <c r="J326" t="str">
        <f t="shared" ca="1" si="28"/>
        <v/>
      </c>
      <c r="L326" t="str">
        <f t="shared" si="29"/>
        <v>Hello , your loan of UGX  is due on 00-Jan-1900. Please clear to avoid penalty.</v>
      </c>
    </row>
    <row r="327" spans="4:12" x14ac:dyDescent="0.35">
      <c r="D327">
        <f t="shared" si="25"/>
        <v>0</v>
      </c>
      <c r="E327">
        <f t="shared" si="26"/>
        <v>0</v>
      </c>
      <c r="H327">
        <f t="shared" ca="1" si="27"/>
        <v>46115</v>
      </c>
      <c r="J327" t="str">
        <f t="shared" ca="1" si="28"/>
        <v/>
      </c>
      <c r="L327" t="str">
        <f t="shared" si="29"/>
        <v>Hello , your loan of UGX  is due on 00-Jan-1900. Please clear to avoid penalty.</v>
      </c>
    </row>
    <row r="328" spans="4:12" x14ac:dyDescent="0.35">
      <c r="D328">
        <f t="shared" si="25"/>
        <v>0</v>
      </c>
      <c r="E328">
        <f t="shared" si="26"/>
        <v>0</v>
      </c>
      <c r="H328">
        <f t="shared" ca="1" si="27"/>
        <v>46115</v>
      </c>
      <c r="J328" t="str">
        <f t="shared" ca="1" si="28"/>
        <v/>
      </c>
      <c r="L328" t="str">
        <f t="shared" si="29"/>
        <v>Hello , your loan of UGX  is due on 00-Jan-1900. Please clear to avoid penalty.</v>
      </c>
    </row>
    <row r="329" spans="4:12" x14ac:dyDescent="0.35">
      <c r="D329">
        <f t="shared" si="25"/>
        <v>0</v>
      </c>
      <c r="E329">
        <f t="shared" si="26"/>
        <v>0</v>
      </c>
      <c r="H329">
        <f t="shared" ca="1" si="27"/>
        <v>46115</v>
      </c>
      <c r="J329" t="str">
        <f t="shared" ca="1" si="28"/>
        <v/>
      </c>
      <c r="L329" t="str">
        <f t="shared" si="29"/>
        <v>Hello , your loan of UGX  is due on 00-Jan-1900. Please clear to avoid penalty.</v>
      </c>
    </row>
    <row r="330" spans="4:12" x14ac:dyDescent="0.35">
      <c r="D330">
        <f t="shared" si="25"/>
        <v>0</v>
      </c>
      <c r="E330">
        <f t="shared" si="26"/>
        <v>0</v>
      </c>
      <c r="H330">
        <f t="shared" ca="1" si="27"/>
        <v>46115</v>
      </c>
      <c r="J330" t="str">
        <f t="shared" ca="1" si="28"/>
        <v/>
      </c>
      <c r="L330" t="str">
        <f t="shared" si="29"/>
        <v>Hello , your loan of UGX  is due on 00-Jan-1900. Please clear to avoid penalty.</v>
      </c>
    </row>
    <row r="331" spans="4:12" x14ac:dyDescent="0.35">
      <c r="D331">
        <f t="shared" si="25"/>
        <v>0</v>
      </c>
      <c r="E331">
        <f t="shared" si="26"/>
        <v>0</v>
      </c>
      <c r="H331">
        <f t="shared" ca="1" si="27"/>
        <v>46115</v>
      </c>
      <c r="J331" t="str">
        <f t="shared" ca="1" si="28"/>
        <v/>
      </c>
      <c r="L331" t="str">
        <f t="shared" si="29"/>
        <v>Hello , your loan of UGX  is due on 00-Jan-1900. Please clear to avoid penalty.</v>
      </c>
    </row>
    <row r="332" spans="4:12" x14ac:dyDescent="0.35">
      <c r="D332">
        <f t="shared" si="25"/>
        <v>0</v>
      </c>
      <c r="E332">
        <f t="shared" si="26"/>
        <v>0</v>
      </c>
      <c r="H332">
        <f t="shared" ca="1" si="27"/>
        <v>46115</v>
      </c>
      <c r="J332" t="str">
        <f t="shared" ca="1" si="28"/>
        <v/>
      </c>
      <c r="L332" t="str">
        <f t="shared" si="29"/>
        <v>Hello , your loan of UGX  is due on 00-Jan-1900. Please clear to avoid penalty.</v>
      </c>
    </row>
    <row r="333" spans="4:12" x14ac:dyDescent="0.35">
      <c r="D333">
        <f t="shared" si="25"/>
        <v>0</v>
      </c>
      <c r="E333">
        <f t="shared" si="26"/>
        <v>0</v>
      </c>
      <c r="H333">
        <f t="shared" ca="1" si="27"/>
        <v>46115</v>
      </c>
      <c r="J333" t="str">
        <f t="shared" ca="1" si="28"/>
        <v/>
      </c>
      <c r="L333" t="str">
        <f t="shared" si="29"/>
        <v>Hello , your loan of UGX  is due on 00-Jan-1900. Please clear to avoid penalty.</v>
      </c>
    </row>
    <row r="334" spans="4:12" x14ac:dyDescent="0.35">
      <c r="D334">
        <f t="shared" si="25"/>
        <v>0</v>
      </c>
      <c r="E334">
        <f t="shared" si="26"/>
        <v>0</v>
      </c>
      <c r="H334">
        <f t="shared" ca="1" si="27"/>
        <v>46115</v>
      </c>
      <c r="J334" t="str">
        <f t="shared" ca="1" si="28"/>
        <v/>
      </c>
      <c r="L334" t="str">
        <f t="shared" si="29"/>
        <v>Hello , your loan of UGX  is due on 00-Jan-1900. Please clear to avoid penalty.</v>
      </c>
    </row>
    <row r="335" spans="4:12" x14ac:dyDescent="0.35">
      <c r="D335">
        <f t="shared" si="25"/>
        <v>0</v>
      </c>
      <c r="E335">
        <f t="shared" si="26"/>
        <v>0</v>
      </c>
      <c r="H335">
        <f t="shared" ca="1" si="27"/>
        <v>46115</v>
      </c>
      <c r="J335" t="str">
        <f t="shared" ca="1" si="28"/>
        <v/>
      </c>
      <c r="L335" t="str">
        <f t="shared" si="29"/>
        <v>Hello , your loan of UGX  is due on 00-Jan-1900. Please clear to avoid penalty.</v>
      </c>
    </row>
    <row r="336" spans="4:12" x14ac:dyDescent="0.35">
      <c r="D336">
        <f t="shared" si="25"/>
        <v>0</v>
      </c>
      <c r="E336">
        <f t="shared" si="26"/>
        <v>0</v>
      </c>
      <c r="H336">
        <f t="shared" ca="1" si="27"/>
        <v>46115</v>
      </c>
      <c r="J336" t="str">
        <f t="shared" ca="1" si="28"/>
        <v/>
      </c>
      <c r="L336" t="str">
        <f t="shared" si="29"/>
        <v>Hello , your loan of UGX  is due on 00-Jan-1900. Please clear to avoid penalty.</v>
      </c>
    </row>
    <row r="337" spans="4:12" x14ac:dyDescent="0.35">
      <c r="D337">
        <f t="shared" si="25"/>
        <v>0</v>
      </c>
      <c r="E337">
        <f t="shared" si="26"/>
        <v>0</v>
      </c>
      <c r="H337">
        <f t="shared" ca="1" si="27"/>
        <v>46115</v>
      </c>
      <c r="J337" t="str">
        <f t="shared" ca="1" si="28"/>
        <v/>
      </c>
      <c r="L337" t="str">
        <f t="shared" si="29"/>
        <v>Hello , your loan of UGX  is due on 00-Jan-1900. Please clear to avoid penalty.</v>
      </c>
    </row>
    <row r="338" spans="4:12" x14ac:dyDescent="0.35">
      <c r="D338">
        <f t="shared" si="25"/>
        <v>0</v>
      </c>
      <c r="E338">
        <f t="shared" si="26"/>
        <v>0</v>
      </c>
      <c r="H338">
        <f t="shared" ca="1" si="27"/>
        <v>46115</v>
      </c>
      <c r="J338" t="str">
        <f t="shared" ca="1" si="28"/>
        <v/>
      </c>
      <c r="L338" t="str">
        <f t="shared" si="29"/>
        <v>Hello , your loan of UGX  is due on 00-Jan-1900. Please clear to avoid penalty.</v>
      </c>
    </row>
    <row r="339" spans="4:12" x14ac:dyDescent="0.35">
      <c r="D339">
        <f t="shared" si="25"/>
        <v>0</v>
      </c>
      <c r="E339">
        <f t="shared" si="26"/>
        <v>0</v>
      </c>
      <c r="H339">
        <f t="shared" ca="1" si="27"/>
        <v>46115</v>
      </c>
      <c r="J339" t="str">
        <f t="shared" ca="1" si="28"/>
        <v/>
      </c>
      <c r="L339" t="str">
        <f t="shared" si="29"/>
        <v>Hello , your loan of UGX  is due on 00-Jan-1900. Please clear to avoid penalty.</v>
      </c>
    </row>
    <row r="340" spans="4:12" x14ac:dyDescent="0.35">
      <c r="D340">
        <f t="shared" si="25"/>
        <v>0</v>
      </c>
      <c r="E340">
        <f t="shared" si="26"/>
        <v>0</v>
      </c>
      <c r="H340">
        <f t="shared" ca="1" si="27"/>
        <v>46115</v>
      </c>
      <c r="J340" t="str">
        <f t="shared" ca="1" si="28"/>
        <v/>
      </c>
      <c r="L340" t="str">
        <f t="shared" si="29"/>
        <v>Hello , your loan of UGX  is due on 00-Jan-1900. Please clear to avoid penalty.</v>
      </c>
    </row>
    <row r="341" spans="4:12" x14ac:dyDescent="0.35">
      <c r="D341">
        <f t="shared" si="25"/>
        <v>0</v>
      </c>
      <c r="E341">
        <f t="shared" si="26"/>
        <v>0</v>
      </c>
      <c r="H341">
        <f t="shared" ca="1" si="27"/>
        <v>46115</v>
      </c>
      <c r="J341" t="str">
        <f t="shared" ca="1" si="28"/>
        <v/>
      </c>
      <c r="L341" t="str">
        <f t="shared" si="29"/>
        <v>Hello , your loan of UGX  is due on 00-Jan-1900. Please clear to avoid penalty.</v>
      </c>
    </row>
    <row r="342" spans="4:12" x14ac:dyDescent="0.35">
      <c r="D342">
        <f t="shared" si="25"/>
        <v>0</v>
      </c>
      <c r="E342">
        <f t="shared" si="26"/>
        <v>0</v>
      </c>
      <c r="H342">
        <f t="shared" ca="1" si="27"/>
        <v>46115</v>
      </c>
      <c r="J342" t="str">
        <f t="shared" ca="1" si="28"/>
        <v/>
      </c>
      <c r="L342" t="str">
        <f t="shared" si="29"/>
        <v>Hello , your loan of UGX  is due on 00-Jan-1900. Please clear to avoid penalty.</v>
      </c>
    </row>
    <row r="343" spans="4:12" x14ac:dyDescent="0.35">
      <c r="D343">
        <f t="shared" si="25"/>
        <v>0</v>
      </c>
      <c r="E343">
        <f t="shared" si="26"/>
        <v>0</v>
      </c>
      <c r="H343">
        <f t="shared" ca="1" si="27"/>
        <v>46115</v>
      </c>
      <c r="J343" t="str">
        <f t="shared" ca="1" si="28"/>
        <v/>
      </c>
      <c r="L343" t="str">
        <f t="shared" si="29"/>
        <v>Hello , your loan of UGX  is due on 00-Jan-1900. Please clear to avoid penalty.</v>
      </c>
    </row>
    <row r="344" spans="4:12" x14ac:dyDescent="0.35">
      <c r="D344">
        <f t="shared" si="25"/>
        <v>0</v>
      </c>
      <c r="E344">
        <f t="shared" si="26"/>
        <v>0</v>
      </c>
      <c r="H344">
        <f t="shared" ca="1" si="27"/>
        <v>46115</v>
      </c>
      <c r="J344" t="str">
        <f t="shared" ca="1" si="28"/>
        <v/>
      </c>
      <c r="L344" t="str">
        <f t="shared" si="29"/>
        <v>Hello , your loan of UGX  is due on 00-Jan-1900. Please clear to avoid penalty.</v>
      </c>
    </row>
    <row r="345" spans="4:12" x14ac:dyDescent="0.35">
      <c r="D345">
        <f t="shared" si="25"/>
        <v>0</v>
      </c>
      <c r="E345">
        <f t="shared" si="26"/>
        <v>0</v>
      </c>
      <c r="H345">
        <f t="shared" ca="1" si="27"/>
        <v>46115</v>
      </c>
      <c r="J345" t="str">
        <f t="shared" ca="1" si="28"/>
        <v/>
      </c>
      <c r="L345" t="str">
        <f t="shared" si="29"/>
        <v>Hello , your loan of UGX  is due on 00-Jan-1900. Please clear to avoid penalty.</v>
      </c>
    </row>
    <row r="346" spans="4:12" x14ac:dyDescent="0.35">
      <c r="D346">
        <f t="shared" si="25"/>
        <v>0</v>
      </c>
      <c r="E346">
        <f t="shared" si="26"/>
        <v>0</v>
      </c>
      <c r="H346">
        <f t="shared" ca="1" si="27"/>
        <v>46115</v>
      </c>
      <c r="J346" t="str">
        <f t="shared" ca="1" si="28"/>
        <v/>
      </c>
      <c r="L346" t="str">
        <f t="shared" si="29"/>
        <v>Hello , your loan of UGX  is due on 00-Jan-1900. Please clear to avoid penalty.</v>
      </c>
    </row>
    <row r="347" spans="4:12" x14ac:dyDescent="0.35">
      <c r="D347">
        <f t="shared" si="25"/>
        <v>0</v>
      </c>
      <c r="E347">
        <f t="shared" si="26"/>
        <v>0</v>
      </c>
      <c r="H347">
        <f t="shared" ca="1" si="27"/>
        <v>46115</v>
      </c>
      <c r="J347" t="str">
        <f t="shared" ca="1" si="28"/>
        <v/>
      </c>
      <c r="L347" t="str">
        <f t="shared" si="29"/>
        <v>Hello , your loan of UGX  is due on 00-Jan-1900. Please clear to avoid penalty.</v>
      </c>
    </row>
    <row r="348" spans="4:12" x14ac:dyDescent="0.35">
      <c r="D348">
        <f t="shared" si="25"/>
        <v>0</v>
      </c>
      <c r="E348">
        <f t="shared" si="26"/>
        <v>0</v>
      </c>
      <c r="H348">
        <f t="shared" ca="1" si="27"/>
        <v>46115</v>
      </c>
      <c r="J348" t="str">
        <f t="shared" ca="1" si="28"/>
        <v/>
      </c>
      <c r="L348" t="str">
        <f t="shared" si="29"/>
        <v>Hello , your loan of UGX  is due on 00-Jan-1900. Please clear to avoid penalty.</v>
      </c>
    </row>
    <row r="349" spans="4:12" x14ac:dyDescent="0.35">
      <c r="D349">
        <f t="shared" si="25"/>
        <v>0</v>
      </c>
      <c r="E349">
        <f t="shared" si="26"/>
        <v>0</v>
      </c>
      <c r="H349">
        <f t="shared" ca="1" si="27"/>
        <v>46115</v>
      </c>
      <c r="J349" t="str">
        <f t="shared" ca="1" si="28"/>
        <v/>
      </c>
      <c r="L349" t="str">
        <f t="shared" si="29"/>
        <v>Hello , your loan of UGX  is due on 00-Jan-1900. Please clear to avoid penalty.</v>
      </c>
    </row>
    <row r="350" spans="4:12" x14ac:dyDescent="0.35">
      <c r="D350">
        <f t="shared" si="25"/>
        <v>0</v>
      </c>
      <c r="E350">
        <f t="shared" si="26"/>
        <v>0</v>
      </c>
      <c r="H350">
        <f t="shared" ca="1" si="27"/>
        <v>46115</v>
      </c>
      <c r="J350" t="str">
        <f t="shared" ca="1" si="28"/>
        <v/>
      </c>
      <c r="L350" t="str">
        <f t="shared" si="29"/>
        <v>Hello , your loan of UGX  is due on 00-Jan-1900. Please clear to avoid penalty.</v>
      </c>
    </row>
    <row r="351" spans="4:12" x14ac:dyDescent="0.35">
      <c r="D351">
        <f t="shared" si="25"/>
        <v>0</v>
      </c>
      <c r="E351">
        <f t="shared" si="26"/>
        <v>0</v>
      </c>
      <c r="H351">
        <f t="shared" ca="1" si="27"/>
        <v>46115</v>
      </c>
      <c r="J351" t="str">
        <f t="shared" ca="1" si="28"/>
        <v/>
      </c>
      <c r="L351" t="str">
        <f t="shared" si="29"/>
        <v>Hello , your loan of UGX  is due on 00-Jan-1900. Please clear to avoid penalty.</v>
      </c>
    </row>
    <row r="352" spans="4:12" x14ac:dyDescent="0.35">
      <c r="D352">
        <f t="shared" si="25"/>
        <v>0</v>
      </c>
      <c r="E352">
        <f t="shared" si="26"/>
        <v>0</v>
      </c>
      <c r="H352">
        <f t="shared" ca="1" si="27"/>
        <v>46115</v>
      </c>
      <c r="J352" t="str">
        <f t="shared" ca="1" si="28"/>
        <v/>
      </c>
      <c r="L352" t="str">
        <f t="shared" si="29"/>
        <v>Hello , your loan of UGX  is due on 00-Jan-1900. Please clear to avoid penalty.</v>
      </c>
    </row>
    <row r="353" spans="4:12" x14ac:dyDescent="0.35">
      <c r="D353">
        <f t="shared" si="25"/>
        <v>0</v>
      </c>
      <c r="E353">
        <f t="shared" si="26"/>
        <v>0</v>
      </c>
      <c r="H353">
        <f t="shared" ca="1" si="27"/>
        <v>46115</v>
      </c>
      <c r="J353" t="str">
        <f t="shared" ca="1" si="28"/>
        <v/>
      </c>
      <c r="L353" t="str">
        <f t="shared" si="29"/>
        <v>Hello , your loan of UGX  is due on 00-Jan-1900. Please clear to avoid penalty.</v>
      </c>
    </row>
    <row r="354" spans="4:12" x14ac:dyDescent="0.35">
      <c r="D354">
        <f t="shared" si="25"/>
        <v>0</v>
      </c>
      <c r="E354">
        <f t="shared" si="26"/>
        <v>0</v>
      </c>
      <c r="H354">
        <f t="shared" ca="1" si="27"/>
        <v>46115</v>
      </c>
      <c r="J354" t="str">
        <f t="shared" ca="1" si="28"/>
        <v/>
      </c>
      <c r="L354" t="str">
        <f t="shared" si="29"/>
        <v>Hello , your loan of UGX  is due on 00-Jan-1900. Please clear to avoid penalty.</v>
      </c>
    </row>
    <row r="355" spans="4:12" x14ac:dyDescent="0.35">
      <c r="D355">
        <f t="shared" si="25"/>
        <v>0</v>
      </c>
      <c r="E355">
        <f t="shared" si="26"/>
        <v>0</v>
      </c>
      <c r="H355">
        <f t="shared" ca="1" si="27"/>
        <v>46115</v>
      </c>
      <c r="J355" t="str">
        <f t="shared" ca="1" si="28"/>
        <v/>
      </c>
      <c r="L355" t="str">
        <f t="shared" si="29"/>
        <v>Hello , your loan of UGX  is due on 00-Jan-1900. Please clear to avoid penalty.</v>
      </c>
    </row>
    <row r="356" spans="4:12" x14ac:dyDescent="0.35">
      <c r="D356">
        <f t="shared" si="25"/>
        <v>0</v>
      </c>
      <c r="E356">
        <f t="shared" si="26"/>
        <v>0</v>
      </c>
      <c r="H356">
        <f t="shared" ca="1" si="27"/>
        <v>46115</v>
      </c>
      <c r="J356" t="str">
        <f t="shared" ca="1" si="28"/>
        <v/>
      </c>
      <c r="L356" t="str">
        <f t="shared" si="29"/>
        <v>Hello , your loan of UGX  is due on 00-Jan-1900. Please clear to avoid penalty.</v>
      </c>
    </row>
    <row r="357" spans="4:12" x14ac:dyDescent="0.35">
      <c r="D357">
        <f t="shared" si="25"/>
        <v>0</v>
      </c>
      <c r="E357">
        <f t="shared" si="26"/>
        <v>0</v>
      </c>
      <c r="H357">
        <f t="shared" ca="1" si="27"/>
        <v>46115</v>
      </c>
      <c r="J357" t="str">
        <f t="shared" ca="1" si="28"/>
        <v/>
      </c>
      <c r="L357" t="str">
        <f t="shared" si="29"/>
        <v>Hello , your loan of UGX  is due on 00-Jan-1900. Please clear to avoid penalty.</v>
      </c>
    </row>
    <row r="358" spans="4:12" x14ac:dyDescent="0.35">
      <c r="D358">
        <f t="shared" si="25"/>
        <v>0</v>
      </c>
      <c r="E358">
        <f t="shared" si="26"/>
        <v>0</v>
      </c>
      <c r="H358">
        <f t="shared" ca="1" si="27"/>
        <v>46115</v>
      </c>
      <c r="J358" t="str">
        <f t="shared" ca="1" si="28"/>
        <v/>
      </c>
      <c r="L358" t="str">
        <f t="shared" si="29"/>
        <v>Hello , your loan of UGX  is due on 00-Jan-1900. Please clear to avoid penalty.</v>
      </c>
    </row>
    <row r="359" spans="4:12" x14ac:dyDescent="0.35">
      <c r="D359">
        <f t="shared" si="25"/>
        <v>0</v>
      </c>
      <c r="E359">
        <f t="shared" si="26"/>
        <v>0</v>
      </c>
      <c r="H359">
        <f t="shared" ca="1" si="27"/>
        <v>46115</v>
      </c>
      <c r="J359" t="str">
        <f t="shared" ca="1" si="28"/>
        <v/>
      </c>
      <c r="L359" t="str">
        <f t="shared" si="29"/>
        <v>Hello , your loan of UGX  is due on 00-Jan-1900. Please clear to avoid penalty.</v>
      </c>
    </row>
    <row r="360" spans="4:12" x14ac:dyDescent="0.35">
      <c r="D360">
        <f t="shared" si="25"/>
        <v>0</v>
      </c>
      <c r="E360">
        <f t="shared" si="26"/>
        <v>0</v>
      </c>
      <c r="H360">
        <f t="shared" ca="1" si="27"/>
        <v>46115</v>
      </c>
      <c r="J360" t="str">
        <f t="shared" ca="1" si="28"/>
        <v/>
      </c>
      <c r="L360" t="str">
        <f t="shared" si="29"/>
        <v>Hello , your loan of UGX  is due on 00-Jan-1900. Please clear to avoid penalty.</v>
      </c>
    </row>
    <row r="361" spans="4:12" x14ac:dyDescent="0.35">
      <c r="D361">
        <f t="shared" si="25"/>
        <v>0</v>
      </c>
      <c r="E361">
        <f t="shared" si="26"/>
        <v>0</v>
      </c>
      <c r="H361">
        <f t="shared" ca="1" si="27"/>
        <v>46115</v>
      </c>
      <c r="J361" t="str">
        <f t="shared" ca="1" si="28"/>
        <v/>
      </c>
      <c r="L361" t="str">
        <f t="shared" si="29"/>
        <v>Hello , your loan of UGX  is due on 00-Jan-1900. Please clear to avoid penalty.</v>
      </c>
    </row>
    <row r="362" spans="4:12" x14ac:dyDescent="0.35">
      <c r="D362">
        <f t="shared" si="25"/>
        <v>0</v>
      </c>
      <c r="E362">
        <f t="shared" si="26"/>
        <v>0</v>
      </c>
      <c r="H362">
        <f t="shared" ca="1" si="27"/>
        <v>46115</v>
      </c>
      <c r="J362" t="str">
        <f t="shared" ca="1" si="28"/>
        <v/>
      </c>
      <c r="L362" t="str">
        <f t="shared" si="29"/>
        <v>Hello , your loan of UGX  is due on 00-Jan-1900. Please clear to avoid penalty.</v>
      </c>
    </row>
    <row r="363" spans="4:12" x14ac:dyDescent="0.35">
      <c r="D363">
        <f t="shared" si="25"/>
        <v>0</v>
      </c>
      <c r="E363">
        <f t="shared" si="26"/>
        <v>0</v>
      </c>
      <c r="H363">
        <f t="shared" ca="1" si="27"/>
        <v>46115</v>
      </c>
      <c r="J363" t="str">
        <f t="shared" ca="1" si="28"/>
        <v/>
      </c>
      <c r="L363" t="str">
        <f t="shared" si="29"/>
        <v>Hello , your loan of UGX  is due on 00-Jan-1900. Please clear to avoid penalty.</v>
      </c>
    </row>
    <row r="364" spans="4:12" x14ac:dyDescent="0.35">
      <c r="D364">
        <f t="shared" si="25"/>
        <v>0</v>
      </c>
      <c r="E364">
        <f t="shared" si="26"/>
        <v>0</v>
      </c>
      <c r="H364">
        <f t="shared" ca="1" si="27"/>
        <v>46115</v>
      </c>
      <c r="J364" t="str">
        <f t="shared" ca="1" si="28"/>
        <v/>
      </c>
      <c r="L364" t="str">
        <f t="shared" si="29"/>
        <v>Hello , your loan of UGX  is due on 00-Jan-1900. Please clear to avoid penalty.</v>
      </c>
    </row>
    <row r="365" spans="4:12" x14ac:dyDescent="0.35">
      <c r="D365">
        <f t="shared" si="25"/>
        <v>0</v>
      </c>
      <c r="E365">
        <f t="shared" si="26"/>
        <v>0</v>
      </c>
      <c r="H365">
        <f t="shared" ca="1" si="27"/>
        <v>46115</v>
      </c>
      <c r="J365" t="str">
        <f t="shared" ca="1" si="28"/>
        <v/>
      </c>
      <c r="L365" t="str">
        <f t="shared" si="29"/>
        <v>Hello , your loan of UGX  is due on 00-Jan-1900. Please clear to avoid penalty.</v>
      </c>
    </row>
    <row r="366" spans="4:12" x14ac:dyDescent="0.35">
      <c r="D366">
        <f t="shared" si="25"/>
        <v>0</v>
      </c>
      <c r="E366">
        <f t="shared" si="26"/>
        <v>0</v>
      </c>
      <c r="H366">
        <f t="shared" ca="1" si="27"/>
        <v>46115</v>
      </c>
      <c r="J366" t="str">
        <f t="shared" ca="1" si="28"/>
        <v/>
      </c>
      <c r="L366" t="str">
        <f t="shared" si="29"/>
        <v>Hello , your loan of UGX  is due on 00-Jan-1900. Please clear to avoid penalty.</v>
      </c>
    </row>
    <row r="367" spans="4:12" x14ac:dyDescent="0.35">
      <c r="D367">
        <f t="shared" si="25"/>
        <v>0</v>
      </c>
      <c r="E367">
        <f t="shared" si="26"/>
        <v>0</v>
      </c>
      <c r="H367">
        <f t="shared" ca="1" si="27"/>
        <v>46115</v>
      </c>
      <c r="J367" t="str">
        <f t="shared" ca="1" si="28"/>
        <v/>
      </c>
      <c r="L367" t="str">
        <f t="shared" si="29"/>
        <v>Hello , your loan of UGX  is due on 00-Jan-1900. Please clear to avoid penalty.</v>
      </c>
    </row>
    <row r="368" spans="4:12" x14ac:dyDescent="0.35">
      <c r="D368">
        <f t="shared" si="25"/>
        <v>0</v>
      </c>
      <c r="E368">
        <f t="shared" si="26"/>
        <v>0</v>
      </c>
      <c r="H368">
        <f t="shared" ca="1" si="27"/>
        <v>46115</v>
      </c>
      <c r="J368" t="str">
        <f t="shared" ca="1" si="28"/>
        <v/>
      </c>
      <c r="L368" t="str">
        <f t="shared" si="29"/>
        <v>Hello , your loan of UGX  is due on 00-Jan-1900. Please clear to avoid penalty.</v>
      </c>
    </row>
    <row r="369" spans="4:12" x14ac:dyDescent="0.35">
      <c r="D369">
        <f t="shared" ref="D369:D432" si="30">C369*0.4</f>
        <v>0</v>
      </c>
      <c r="E369">
        <f t="shared" ref="E369:E432" si="31">C369+D369</f>
        <v>0</v>
      </c>
      <c r="H369">
        <f t="shared" ref="H369:H432" ca="1" si="32">IF(TODAY()&gt;G369, TODAY()-G369, 0)</f>
        <v>46115</v>
      </c>
      <c r="J369" t="str">
        <f t="shared" ref="J369:J432" ca="1" si="33">IF(J369="Closed","Closed",IF(TODAY()&gt;G369,"Late",IF(TODAY()=G369,"Due Today","Active")))</f>
        <v/>
      </c>
      <c r="L369" t="str">
        <f t="shared" ref="L369:L432" si="34">"Hello "&amp;A369&amp;", your loan of UGX "&amp;C369&amp;" is due on "&amp;TEXT(G369,"dd-mmm-yyyy")&amp;". Please clear to avoid penalty."</f>
        <v>Hello , your loan of UGX  is due on 00-Jan-1900. Please clear to avoid penalty.</v>
      </c>
    </row>
    <row r="370" spans="4:12" x14ac:dyDescent="0.35">
      <c r="D370">
        <f t="shared" si="30"/>
        <v>0</v>
      </c>
      <c r="E370">
        <f t="shared" si="31"/>
        <v>0</v>
      </c>
      <c r="H370">
        <f t="shared" ca="1" si="32"/>
        <v>46115</v>
      </c>
      <c r="J370" t="str">
        <f t="shared" ca="1" si="33"/>
        <v/>
      </c>
      <c r="L370" t="str">
        <f t="shared" si="34"/>
        <v>Hello , your loan of UGX  is due on 00-Jan-1900. Please clear to avoid penalty.</v>
      </c>
    </row>
    <row r="371" spans="4:12" x14ac:dyDescent="0.35">
      <c r="D371">
        <f t="shared" si="30"/>
        <v>0</v>
      </c>
      <c r="E371">
        <f t="shared" si="31"/>
        <v>0</v>
      </c>
      <c r="H371">
        <f t="shared" ca="1" si="32"/>
        <v>46115</v>
      </c>
      <c r="J371" t="str">
        <f t="shared" ca="1" si="33"/>
        <v/>
      </c>
      <c r="L371" t="str">
        <f t="shared" si="34"/>
        <v>Hello , your loan of UGX  is due on 00-Jan-1900. Please clear to avoid penalty.</v>
      </c>
    </row>
    <row r="372" spans="4:12" x14ac:dyDescent="0.35">
      <c r="D372">
        <f t="shared" si="30"/>
        <v>0</v>
      </c>
      <c r="E372">
        <f t="shared" si="31"/>
        <v>0</v>
      </c>
      <c r="H372">
        <f t="shared" ca="1" si="32"/>
        <v>46115</v>
      </c>
      <c r="J372" t="str">
        <f t="shared" ca="1" si="33"/>
        <v/>
      </c>
      <c r="L372" t="str">
        <f t="shared" si="34"/>
        <v>Hello , your loan of UGX  is due on 00-Jan-1900. Please clear to avoid penalty.</v>
      </c>
    </row>
    <row r="373" spans="4:12" x14ac:dyDescent="0.35">
      <c r="D373">
        <f t="shared" si="30"/>
        <v>0</v>
      </c>
      <c r="E373">
        <f t="shared" si="31"/>
        <v>0</v>
      </c>
      <c r="H373">
        <f t="shared" ca="1" si="32"/>
        <v>46115</v>
      </c>
      <c r="J373" t="str">
        <f t="shared" ca="1" si="33"/>
        <v/>
      </c>
      <c r="L373" t="str">
        <f t="shared" si="34"/>
        <v>Hello , your loan of UGX  is due on 00-Jan-1900. Please clear to avoid penalty.</v>
      </c>
    </row>
    <row r="374" spans="4:12" x14ac:dyDescent="0.35">
      <c r="D374">
        <f t="shared" si="30"/>
        <v>0</v>
      </c>
      <c r="E374">
        <f t="shared" si="31"/>
        <v>0</v>
      </c>
      <c r="H374">
        <f t="shared" ca="1" si="32"/>
        <v>46115</v>
      </c>
      <c r="J374" t="str">
        <f t="shared" ca="1" si="33"/>
        <v/>
      </c>
      <c r="L374" t="str">
        <f t="shared" si="34"/>
        <v>Hello , your loan of UGX  is due on 00-Jan-1900. Please clear to avoid penalty.</v>
      </c>
    </row>
    <row r="375" spans="4:12" x14ac:dyDescent="0.35">
      <c r="D375">
        <f t="shared" si="30"/>
        <v>0</v>
      </c>
      <c r="E375">
        <f t="shared" si="31"/>
        <v>0</v>
      </c>
      <c r="H375">
        <f t="shared" ca="1" si="32"/>
        <v>46115</v>
      </c>
      <c r="J375" t="str">
        <f t="shared" ca="1" si="33"/>
        <v/>
      </c>
      <c r="L375" t="str">
        <f t="shared" si="34"/>
        <v>Hello , your loan of UGX  is due on 00-Jan-1900. Please clear to avoid penalty.</v>
      </c>
    </row>
    <row r="376" spans="4:12" x14ac:dyDescent="0.35">
      <c r="D376">
        <f t="shared" si="30"/>
        <v>0</v>
      </c>
      <c r="E376">
        <f t="shared" si="31"/>
        <v>0</v>
      </c>
      <c r="H376">
        <f t="shared" ca="1" si="32"/>
        <v>46115</v>
      </c>
      <c r="J376" t="str">
        <f t="shared" ca="1" si="33"/>
        <v/>
      </c>
      <c r="L376" t="str">
        <f t="shared" si="34"/>
        <v>Hello , your loan of UGX  is due on 00-Jan-1900. Please clear to avoid penalty.</v>
      </c>
    </row>
    <row r="377" spans="4:12" x14ac:dyDescent="0.35">
      <c r="D377">
        <f t="shared" si="30"/>
        <v>0</v>
      </c>
      <c r="E377">
        <f t="shared" si="31"/>
        <v>0</v>
      </c>
      <c r="H377">
        <f t="shared" ca="1" si="32"/>
        <v>46115</v>
      </c>
      <c r="J377" t="str">
        <f t="shared" ca="1" si="33"/>
        <v/>
      </c>
      <c r="L377" t="str">
        <f t="shared" si="34"/>
        <v>Hello , your loan of UGX  is due on 00-Jan-1900. Please clear to avoid penalty.</v>
      </c>
    </row>
    <row r="378" spans="4:12" x14ac:dyDescent="0.35">
      <c r="D378">
        <f t="shared" si="30"/>
        <v>0</v>
      </c>
      <c r="E378">
        <f t="shared" si="31"/>
        <v>0</v>
      </c>
      <c r="H378">
        <f t="shared" ca="1" si="32"/>
        <v>46115</v>
      </c>
      <c r="J378" t="str">
        <f t="shared" ca="1" si="33"/>
        <v/>
      </c>
      <c r="L378" t="str">
        <f t="shared" si="34"/>
        <v>Hello , your loan of UGX  is due on 00-Jan-1900. Please clear to avoid penalty.</v>
      </c>
    </row>
    <row r="379" spans="4:12" x14ac:dyDescent="0.35">
      <c r="D379">
        <f t="shared" si="30"/>
        <v>0</v>
      </c>
      <c r="E379">
        <f t="shared" si="31"/>
        <v>0</v>
      </c>
      <c r="H379">
        <f t="shared" ca="1" si="32"/>
        <v>46115</v>
      </c>
      <c r="J379" t="str">
        <f t="shared" ca="1" si="33"/>
        <v/>
      </c>
      <c r="L379" t="str">
        <f t="shared" si="34"/>
        <v>Hello , your loan of UGX  is due on 00-Jan-1900. Please clear to avoid penalty.</v>
      </c>
    </row>
    <row r="380" spans="4:12" x14ac:dyDescent="0.35">
      <c r="D380">
        <f t="shared" si="30"/>
        <v>0</v>
      </c>
      <c r="E380">
        <f t="shared" si="31"/>
        <v>0</v>
      </c>
      <c r="H380">
        <f t="shared" ca="1" si="32"/>
        <v>46115</v>
      </c>
      <c r="J380" t="str">
        <f t="shared" ca="1" si="33"/>
        <v/>
      </c>
      <c r="L380" t="str">
        <f t="shared" si="34"/>
        <v>Hello , your loan of UGX  is due on 00-Jan-1900. Please clear to avoid penalty.</v>
      </c>
    </row>
    <row r="381" spans="4:12" x14ac:dyDescent="0.35">
      <c r="D381">
        <f t="shared" si="30"/>
        <v>0</v>
      </c>
      <c r="E381">
        <f t="shared" si="31"/>
        <v>0</v>
      </c>
      <c r="H381">
        <f t="shared" ca="1" si="32"/>
        <v>46115</v>
      </c>
      <c r="J381" t="str">
        <f t="shared" ca="1" si="33"/>
        <v/>
      </c>
      <c r="L381" t="str">
        <f t="shared" si="34"/>
        <v>Hello , your loan of UGX  is due on 00-Jan-1900. Please clear to avoid penalty.</v>
      </c>
    </row>
    <row r="382" spans="4:12" x14ac:dyDescent="0.35">
      <c r="D382">
        <f t="shared" si="30"/>
        <v>0</v>
      </c>
      <c r="E382">
        <f t="shared" si="31"/>
        <v>0</v>
      </c>
      <c r="H382">
        <f t="shared" ca="1" si="32"/>
        <v>46115</v>
      </c>
      <c r="J382" t="str">
        <f t="shared" ca="1" si="33"/>
        <v/>
      </c>
      <c r="L382" t="str">
        <f t="shared" si="34"/>
        <v>Hello , your loan of UGX  is due on 00-Jan-1900. Please clear to avoid penalty.</v>
      </c>
    </row>
    <row r="383" spans="4:12" x14ac:dyDescent="0.35">
      <c r="D383">
        <f t="shared" si="30"/>
        <v>0</v>
      </c>
      <c r="E383">
        <f t="shared" si="31"/>
        <v>0</v>
      </c>
      <c r="H383">
        <f t="shared" ca="1" si="32"/>
        <v>46115</v>
      </c>
      <c r="J383" t="str">
        <f t="shared" ca="1" si="33"/>
        <v/>
      </c>
      <c r="L383" t="str">
        <f t="shared" si="34"/>
        <v>Hello , your loan of UGX  is due on 00-Jan-1900. Please clear to avoid penalty.</v>
      </c>
    </row>
    <row r="384" spans="4:12" x14ac:dyDescent="0.35">
      <c r="D384">
        <f t="shared" si="30"/>
        <v>0</v>
      </c>
      <c r="E384">
        <f t="shared" si="31"/>
        <v>0</v>
      </c>
      <c r="H384">
        <f t="shared" ca="1" si="32"/>
        <v>46115</v>
      </c>
      <c r="J384" t="str">
        <f t="shared" ca="1" si="33"/>
        <v/>
      </c>
      <c r="L384" t="str">
        <f t="shared" si="34"/>
        <v>Hello , your loan of UGX  is due on 00-Jan-1900. Please clear to avoid penalty.</v>
      </c>
    </row>
    <row r="385" spans="4:12" x14ac:dyDescent="0.35">
      <c r="D385">
        <f t="shared" si="30"/>
        <v>0</v>
      </c>
      <c r="E385">
        <f t="shared" si="31"/>
        <v>0</v>
      </c>
      <c r="H385">
        <f t="shared" ca="1" si="32"/>
        <v>46115</v>
      </c>
      <c r="J385" t="str">
        <f t="shared" ca="1" si="33"/>
        <v/>
      </c>
      <c r="L385" t="str">
        <f t="shared" si="34"/>
        <v>Hello , your loan of UGX  is due on 00-Jan-1900. Please clear to avoid penalty.</v>
      </c>
    </row>
    <row r="386" spans="4:12" x14ac:dyDescent="0.35">
      <c r="D386">
        <f t="shared" si="30"/>
        <v>0</v>
      </c>
      <c r="E386">
        <f t="shared" si="31"/>
        <v>0</v>
      </c>
      <c r="H386">
        <f t="shared" ca="1" si="32"/>
        <v>46115</v>
      </c>
      <c r="J386" t="str">
        <f t="shared" ca="1" si="33"/>
        <v/>
      </c>
      <c r="L386" t="str">
        <f t="shared" si="34"/>
        <v>Hello , your loan of UGX  is due on 00-Jan-1900. Please clear to avoid penalty.</v>
      </c>
    </row>
    <row r="387" spans="4:12" x14ac:dyDescent="0.35">
      <c r="D387">
        <f t="shared" si="30"/>
        <v>0</v>
      </c>
      <c r="E387">
        <f t="shared" si="31"/>
        <v>0</v>
      </c>
      <c r="H387">
        <f t="shared" ca="1" si="32"/>
        <v>46115</v>
      </c>
      <c r="J387" t="str">
        <f t="shared" ca="1" si="33"/>
        <v/>
      </c>
      <c r="L387" t="str">
        <f t="shared" si="34"/>
        <v>Hello , your loan of UGX  is due on 00-Jan-1900. Please clear to avoid penalty.</v>
      </c>
    </row>
    <row r="388" spans="4:12" x14ac:dyDescent="0.35">
      <c r="D388">
        <f t="shared" si="30"/>
        <v>0</v>
      </c>
      <c r="E388">
        <f t="shared" si="31"/>
        <v>0</v>
      </c>
      <c r="H388">
        <f t="shared" ca="1" si="32"/>
        <v>46115</v>
      </c>
      <c r="J388" t="str">
        <f t="shared" ca="1" si="33"/>
        <v/>
      </c>
      <c r="L388" t="str">
        <f t="shared" si="34"/>
        <v>Hello , your loan of UGX  is due on 00-Jan-1900. Please clear to avoid penalty.</v>
      </c>
    </row>
    <row r="389" spans="4:12" x14ac:dyDescent="0.35">
      <c r="D389">
        <f t="shared" si="30"/>
        <v>0</v>
      </c>
      <c r="E389">
        <f t="shared" si="31"/>
        <v>0</v>
      </c>
      <c r="H389">
        <f t="shared" ca="1" si="32"/>
        <v>46115</v>
      </c>
      <c r="J389" t="str">
        <f t="shared" ca="1" si="33"/>
        <v/>
      </c>
      <c r="L389" t="str">
        <f t="shared" si="34"/>
        <v>Hello , your loan of UGX  is due on 00-Jan-1900. Please clear to avoid penalty.</v>
      </c>
    </row>
    <row r="390" spans="4:12" x14ac:dyDescent="0.35">
      <c r="D390">
        <f t="shared" si="30"/>
        <v>0</v>
      </c>
      <c r="E390">
        <f t="shared" si="31"/>
        <v>0</v>
      </c>
      <c r="H390">
        <f t="shared" ca="1" si="32"/>
        <v>46115</v>
      </c>
      <c r="J390" t="str">
        <f t="shared" ca="1" si="33"/>
        <v/>
      </c>
      <c r="L390" t="str">
        <f t="shared" si="34"/>
        <v>Hello , your loan of UGX  is due on 00-Jan-1900. Please clear to avoid penalty.</v>
      </c>
    </row>
    <row r="391" spans="4:12" x14ac:dyDescent="0.35">
      <c r="D391">
        <f t="shared" si="30"/>
        <v>0</v>
      </c>
      <c r="E391">
        <f t="shared" si="31"/>
        <v>0</v>
      </c>
      <c r="H391">
        <f t="shared" ca="1" si="32"/>
        <v>46115</v>
      </c>
      <c r="J391" t="str">
        <f t="shared" ca="1" si="33"/>
        <v/>
      </c>
      <c r="L391" t="str">
        <f t="shared" si="34"/>
        <v>Hello , your loan of UGX  is due on 00-Jan-1900. Please clear to avoid penalty.</v>
      </c>
    </row>
    <row r="392" spans="4:12" x14ac:dyDescent="0.35">
      <c r="D392">
        <f t="shared" si="30"/>
        <v>0</v>
      </c>
      <c r="E392">
        <f t="shared" si="31"/>
        <v>0</v>
      </c>
      <c r="H392">
        <f t="shared" ca="1" si="32"/>
        <v>46115</v>
      </c>
      <c r="J392" t="str">
        <f t="shared" ca="1" si="33"/>
        <v/>
      </c>
      <c r="L392" t="str">
        <f t="shared" si="34"/>
        <v>Hello , your loan of UGX  is due on 00-Jan-1900. Please clear to avoid penalty.</v>
      </c>
    </row>
    <row r="393" spans="4:12" x14ac:dyDescent="0.35">
      <c r="D393">
        <f t="shared" si="30"/>
        <v>0</v>
      </c>
      <c r="E393">
        <f t="shared" si="31"/>
        <v>0</v>
      </c>
      <c r="H393">
        <f t="shared" ca="1" si="32"/>
        <v>46115</v>
      </c>
      <c r="J393" t="str">
        <f t="shared" ca="1" si="33"/>
        <v/>
      </c>
      <c r="L393" t="str">
        <f t="shared" si="34"/>
        <v>Hello , your loan of UGX  is due on 00-Jan-1900. Please clear to avoid penalty.</v>
      </c>
    </row>
    <row r="394" spans="4:12" x14ac:dyDescent="0.35">
      <c r="D394">
        <f t="shared" si="30"/>
        <v>0</v>
      </c>
      <c r="E394">
        <f t="shared" si="31"/>
        <v>0</v>
      </c>
      <c r="H394">
        <f t="shared" ca="1" si="32"/>
        <v>46115</v>
      </c>
      <c r="J394" t="str">
        <f t="shared" ca="1" si="33"/>
        <v/>
      </c>
      <c r="L394" t="str">
        <f t="shared" si="34"/>
        <v>Hello , your loan of UGX  is due on 00-Jan-1900. Please clear to avoid penalty.</v>
      </c>
    </row>
    <row r="395" spans="4:12" x14ac:dyDescent="0.35">
      <c r="D395">
        <f t="shared" si="30"/>
        <v>0</v>
      </c>
      <c r="E395">
        <f t="shared" si="31"/>
        <v>0</v>
      </c>
      <c r="H395">
        <f t="shared" ca="1" si="32"/>
        <v>46115</v>
      </c>
      <c r="J395" t="str">
        <f t="shared" ca="1" si="33"/>
        <v/>
      </c>
      <c r="L395" t="str">
        <f t="shared" si="34"/>
        <v>Hello , your loan of UGX  is due on 00-Jan-1900. Please clear to avoid penalty.</v>
      </c>
    </row>
    <row r="396" spans="4:12" x14ac:dyDescent="0.35">
      <c r="D396">
        <f t="shared" si="30"/>
        <v>0</v>
      </c>
      <c r="E396">
        <f t="shared" si="31"/>
        <v>0</v>
      </c>
      <c r="H396">
        <f t="shared" ca="1" si="32"/>
        <v>46115</v>
      </c>
      <c r="J396" t="str">
        <f t="shared" ca="1" si="33"/>
        <v/>
      </c>
      <c r="L396" t="str">
        <f t="shared" si="34"/>
        <v>Hello , your loan of UGX  is due on 00-Jan-1900. Please clear to avoid penalty.</v>
      </c>
    </row>
    <row r="397" spans="4:12" x14ac:dyDescent="0.35">
      <c r="D397">
        <f t="shared" si="30"/>
        <v>0</v>
      </c>
      <c r="E397">
        <f t="shared" si="31"/>
        <v>0</v>
      </c>
      <c r="H397">
        <f t="shared" ca="1" si="32"/>
        <v>46115</v>
      </c>
      <c r="J397" t="str">
        <f t="shared" ca="1" si="33"/>
        <v/>
      </c>
      <c r="L397" t="str">
        <f t="shared" si="34"/>
        <v>Hello , your loan of UGX  is due on 00-Jan-1900. Please clear to avoid penalty.</v>
      </c>
    </row>
    <row r="398" spans="4:12" x14ac:dyDescent="0.35">
      <c r="D398">
        <f t="shared" si="30"/>
        <v>0</v>
      </c>
      <c r="E398">
        <f t="shared" si="31"/>
        <v>0</v>
      </c>
      <c r="H398">
        <f t="shared" ca="1" si="32"/>
        <v>46115</v>
      </c>
      <c r="J398" t="str">
        <f t="shared" ca="1" si="33"/>
        <v/>
      </c>
      <c r="L398" t="str">
        <f t="shared" si="34"/>
        <v>Hello , your loan of UGX  is due on 00-Jan-1900. Please clear to avoid penalty.</v>
      </c>
    </row>
    <row r="399" spans="4:12" x14ac:dyDescent="0.35">
      <c r="D399">
        <f t="shared" si="30"/>
        <v>0</v>
      </c>
      <c r="E399">
        <f t="shared" si="31"/>
        <v>0</v>
      </c>
      <c r="H399">
        <f t="shared" ca="1" si="32"/>
        <v>46115</v>
      </c>
      <c r="J399" t="str">
        <f t="shared" ca="1" si="33"/>
        <v/>
      </c>
      <c r="L399" t="str">
        <f t="shared" si="34"/>
        <v>Hello , your loan of UGX  is due on 00-Jan-1900. Please clear to avoid penalty.</v>
      </c>
    </row>
    <row r="400" spans="4:12" x14ac:dyDescent="0.35">
      <c r="D400">
        <f t="shared" si="30"/>
        <v>0</v>
      </c>
      <c r="E400">
        <f t="shared" si="31"/>
        <v>0</v>
      </c>
      <c r="H400">
        <f t="shared" ca="1" si="32"/>
        <v>46115</v>
      </c>
      <c r="J400" t="str">
        <f t="shared" ca="1" si="33"/>
        <v/>
      </c>
      <c r="L400" t="str">
        <f t="shared" si="34"/>
        <v>Hello , your loan of UGX  is due on 00-Jan-1900. Please clear to avoid penalty.</v>
      </c>
    </row>
    <row r="401" spans="4:12" x14ac:dyDescent="0.35">
      <c r="D401">
        <f t="shared" si="30"/>
        <v>0</v>
      </c>
      <c r="E401">
        <f t="shared" si="31"/>
        <v>0</v>
      </c>
      <c r="H401">
        <f t="shared" ca="1" si="32"/>
        <v>46115</v>
      </c>
      <c r="J401" t="str">
        <f t="shared" ca="1" si="33"/>
        <v/>
      </c>
      <c r="L401" t="str">
        <f t="shared" si="34"/>
        <v>Hello , your loan of UGX  is due on 00-Jan-1900. Please clear to avoid penalty.</v>
      </c>
    </row>
    <row r="402" spans="4:12" x14ac:dyDescent="0.35">
      <c r="D402">
        <f t="shared" si="30"/>
        <v>0</v>
      </c>
      <c r="E402">
        <f t="shared" si="31"/>
        <v>0</v>
      </c>
      <c r="H402">
        <f t="shared" ca="1" si="32"/>
        <v>46115</v>
      </c>
      <c r="J402" t="str">
        <f t="shared" ca="1" si="33"/>
        <v/>
      </c>
      <c r="L402" t="str">
        <f t="shared" si="34"/>
        <v>Hello , your loan of UGX  is due on 00-Jan-1900. Please clear to avoid penalty.</v>
      </c>
    </row>
    <row r="403" spans="4:12" x14ac:dyDescent="0.35">
      <c r="D403">
        <f t="shared" si="30"/>
        <v>0</v>
      </c>
      <c r="E403">
        <f t="shared" si="31"/>
        <v>0</v>
      </c>
      <c r="H403">
        <f t="shared" ca="1" si="32"/>
        <v>46115</v>
      </c>
      <c r="J403" t="str">
        <f t="shared" ca="1" si="33"/>
        <v/>
      </c>
      <c r="L403" t="str">
        <f t="shared" si="34"/>
        <v>Hello , your loan of UGX  is due on 00-Jan-1900. Please clear to avoid penalty.</v>
      </c>
    </row>
    <row r="404" spans="4:12" x14ac:dyDescent="0.35">
      <c r="D404">
        <f t="shared" si="30"/>
        <v>0</v>
      </c>
      <c r="E404">
        <f t="shared" si="31"/>
        <v>0</v>
      </c>
      <c r="H404">
        <f t="shared" ca="1" si="32"/>
        <v>46115</v>
      </c>
      <c r="J404" t="str">
        <f t="shared" ca="1" si="33"/>
        <v/>
      </c>
      <c r="L404" t="str">
        <f t="shared" si="34"/>
        <v>Hello , your loan of UGX  is due on 00-Jan-1900. Please clear to avoid penalty.</v>
      </c>
    </row>
    <row r="405" spans="4:12" x14ac:dyDescent="0.35">
      <c r="D405">
        <f t="shared" si="30"/>
        <v>0</v>
      </c>
      <c r="E405">
        <f t="shared" si="31"/>
        <v>0</v>
      </c>
      <c r="H405">
        <f t="shared" ca="1" si="32"/>
        <v>46115</v>
      </c>
      <c r="J405" t="str">
        <f t="shared" ca="1" si="33"/>
        <v/>
      </c>
      <c r="L405" t="str">
        <f t="shared" si="34"/>
        <v>Hello , your loan of UGX  is due on 00-Jan-1900. Please clear to avoid penalty.</v>
      </c>
    </row>
    <row r="406" spans="4:12" x14ac:dyDescent="0.35">
      <c r="D406">
        <f t="shared" si="30"/>
        <v>0</v>
      </c>
      <c r="E406">
        <f t="shared" si="31"/>
        <v>0</v>
      </c>
      <c r="H406">
        <f t="shared" ca="1" si="32"/>
        <v>46115</v>
      </c>
      <c r="J406" t="str">
        <f t="shared" ca="1" si="33"/>
        <v/>
      </c>
      <c r="L406" t="str">
        <f t="shared" si="34"/>
        <v>Hello , your loan of UGX  is due on 00-Jan-1900. Please clear to avoid penalty.</v>
      </c>
    </row>
    <row r="407" spans="4:12" x14ac:dyDescent="0.35">
      <c r="D407">
        <f t="shared" si="30"/>
        <v>0</v>
      </c>
      <c r="E407">
        <f t="shared" si="31"/>
        <v>0</v>
      </c>
      <c r="H407">
        <f t="shared" ca="1" si="32"/>
        <v>46115</v>
      </c>
      <c r="J407" t="str">
        <f t="shared" ca="1" si="33"/>
        <v/>
      </c>
      <c r="L407" t="str">
        <f t="shared" si="34"/>
        <v>Hello , your loan of UGX  is due on 00-Jan-1900. Please clear to avoid penalty.</v>
      </c>
    </row>
    <row r="408" spans="4:12" x14ac:dyDescent="0.35">
      <c r="D408">
        <f t="shared" si="30"/>
        <v>0</v>
      </c>
      <c r="E408">
        <f t="shared" si="31"/>
        <v>0</v>
      </c>
      <c r="H408">
        <f t="shared" ca="1" si="32"/>
        <v>46115</v>
      </c>
      <c r="J408" t="str">
        <f t="shared" ca="1" si="33"/>
        <v/>
      </c>
      <c r="L408" t="str">
        <f t="shared" si="34"/>
        <v>Hello , your loan of UGX  is due on 00-Jan-1900. Please clear to avoid penalty.</v>
      </c>
    </row>
    <row r="409" spans="4:12" x14ac:dyDescent="0.35">
      <c r="D409">
        <f t="shared" si="30"/>
        <v>0</v>
      </c>
      <c r="E409">
        <f t="shared" si="31"/>
        <v>0</v>
      </c>
      <c r="H409">
        <f t="shared" ca="1" si="32"/>
        <v>46115</v>
      </c>
      <c r="J409" t="str">
        <f t="shared" ca="1" si="33"/>
        <v/>
      </c>
      <c r="L409" t="str">
        <f t="shared" si="34"/>
        <v>Hello , your loan of UGX  is due on 00-Jan-1900. Please clear to avoid penalty.</v>
      </c>
    </row>
    <row r="410" spans="4:12" x14ac:dyDescent="0.35">
      <c r="D410">
        <f t="shared" si="30"/>
        <v>0</v>
      </c>
      <c r="E410">
        <f t="shared" si="31"/>
        <v>0</v>
      </c>
      <c r="H410">
        <f t="shared" ca="1" si="32"/>
        <v>46115</v>
      </c>
      <c r="J410" t="str">
        <f t="shared" ca="1" si="33"/>
        <v/>
      </c>
      <c r="L410" t="str">
        <f t="shared" si="34"/>
        <v>Hello , your loan of UGX  is due on 00-Jan-1900. Please clear to avoid penalty.</v>
      </c>
    </row>
    <row r="411" spans="4:12" x14ac:dyDescent="0.35">
      <c r="D411">
        <f t="shared" si="30"/>
        <v>0</v>
      </c>
      <c r="E411">
        <f t="shared" si="31"/>
        <v>0</v>
      </c>
      <c r="H411">
        <f t="shared" ca="1" si="32"/>
        <v>46115</v>
      </c>
      <c r="J411" t="str">
        <f t="shared" ca="1" si="33"/>
        <v/>
      </c>
      <c r="L411" t="str">
        <f t="shared" si="34"/>
        <v>Hello , your loan of UGX  is due on 00-Jan-1900. Please clear to avoid penalty.</v>
      </c>
    </row>
    <row r="412" spans="4:12" x14ac:dyDescent="0.35">
      <c r="D412">
        <f t="shared" si="30"/>
        <v>0</v>
      </c>
      <c r="E412">
        <f t="shared" si="31"/>
        <v>0</v>
      </c>
      <c r="H412">
        <f t="shared" ca="1" si="32"/>
        <v>46115</v>
      </c>
      <c r="J412" t="str">
        <f t="shared" ca="1" si="33"/>
        <v/>
      </c>
      <c r="L412" t="str">
        <f t="shared" si="34"/>
        <v>Hello , your loan of UGX  is due on 00-Jan-1900. Please clear to avoid penalty.</v>
      </c>
    </row>
    <row r="413" spans="4:12" x14ac:dyDescent="0.35">
      <c r="D413">
        <f t="shared" si="30"/>
        <v>0</v>
      </c>
      <c r="E413">
        <f t="shared" si="31"/>
        <v>0</v>
      </c>
      <c r="H413">
        <f t="shared" ca="1" si="32"/>
        <v>46115</v>
      </c>
      <c r="J413" t="str">
        <f t="shared" ca="1" si="33"/>
        <v/>
      </c>
      <c r="L413" t="str">
        <f t="shared" si="34"/>
        <v>Hello , your loan of UGX  is due on 00-Jan-1900. Please clear to avoid penalty.</v>
      </c>
    </row>
    <row r="414" spans="4:12" x14ac:dyDescent="0.35">
      <c r="D414">
        <f t="shared" si="30"/>
        <v>0</v>
      </c>
      <c r="E414">
        <f t="shared" si="31"/>
        <v>0</v>
      </c>
      <c r="H414">
        <f t="shared" ca="1" si="32"/>
        <v>46115</v>
      </c>
      <c r="J414" t="str">
        <f t="shared" ca="1" si="33"/>
        <v/>
      </c>
      <c r="L414" t="str">
        <f t="shared" si="34"/>
        <v>Hello , your loan of UGX  is due on 00-Jan-1900. Please clear to avoid penalty.</v>
      </c>
    </row>
    <row r="415" spans="4:12" x14ac:dyDescent="0.35">
      <c r="D415">
        <f t="shared" si="30"/>
        <v>0</v>
      </c>
      <c r="E415">
        <f t="shared" si="31"/>
        <v>0</v>
      </c>
      <c r="H415">
        <f t="shared" ca="1" si="32"/>
        <v>46115</v>
      </c>
      <c r="J415" t="str">
        <f t="shared" ca="1" si="33"/>
        <v/>
      </c>
      <c r="L415" t="str">
        <f t="shared" si="34"/>
        <v>Hello , your loan of UGX  is due on 00-Jan-1900. Please clear to avoid penalty.</v>
      </c>
    </row>
    <row r="416" spans="4:12" x14ac:dyDescent="0.35">
      <c r="D416">
        <f t="shared" si="30"/>
        <v>0</v>
      </c>
      <c r="E416">
        <f t="shared" si="31"/>
        <v>0</v>
      </c>
      <c r="H416">
        <f t="shared" ca="1" si="32"/>
        <v>46115</v>
      </c>
      <c r="J416" t="str">
        <f t="shared" ca="1" si="33"/>
        <v/>
      </c>
      <c r="L416" t="str">
        <f t="shared" si="34"/>
        <v>Hello , your loan of UGX  is due on 00-Jan-1900. Please clear to avoid penalty.</v>
      </c>
    </row>
    <row r="417" spans="4:12" x14ac:dyDescent="0.35">
      <c r="D417">
        <f t="shared" si="30"/>
        <v>0</v>
      </c>
      <c r="E417">
        <f t="shared" si="31"/>
        <v>0</v>
      </c>
      <c r="H417">
        <f t="shared" ca="1" si="32"/>
        <v>46115</v>
      </c>
      <c r="J417" t="str">
        <f t="shared" ca="1" si="33"/>
        <v/>
      </c>
      <c r="L417" t="str">
        <f t="shared" si="34"/>
        <v>Hello , your loan of UGX  is due on 00-Jan-1900. Please clear to avoid penalty.</v>
      </c>
    </row>
    <row r="418" spans="4:12" x14ac:dyDescent="0.35">
      <c r="D418">
        <f t="shared" si="30"/>
        <v>0</v>
      </c>
      <c r="E418">
        <f t="shared" si="31"/>
        <v>0</v>
      </c>
      <c r="H418">
        <f t="shared" ca="1" si="32"/>
        <v>46115</v>
      </c>
      <c r="J418" t="str">
        <f t="shared" ca="1" si="33"/>
        <v/>
      </c>
      <c r="L418" t="str">
        <f t="shared" si="34"/>
        <v>Hello , your loan of UGX  is due on 00-Jan-1900. Please clear to avoid penalty.</v>
      </c>
    </row>
    <row r="419" spans="4:12" x14ac:dyDescent="0.35">
      <c r="D419">
        <f t="shared" si="30"/>
        <v>0</v>
      </c>
      <c r="E419">
        <f t="shared" si="31"/>
        <v>0</v>
      </c>
      <c r="H419">
        <f t="shared" ca="1" si="32"/>
        <v>46115</v>
      </c>
      <c r="J419" t="str">
        <f t="shared" ca="1" si="33"/>
        <v/>
      </c>
      <c r="L419" t="str">
        <f t="shared" si="34"/>
        <v>Hello , your loan of UGX  is due on 00-Jan-1900. Please clear to avoid penalty.</v>
      </c>
    </row>
    <row r="420" spans="4:12" x14ac:dyDescent="0.35">
      <c r="D420">
        <f t="shared" si="30"/>
        <v>0</v>
      </c>
      <c r="E420">
        <f t="shared" si="31"/>
        <v>0</v>
      </c>
      <c r="H420">
        <f t="shared" ca="1" si="32"/>
        <v>46115</v>
      </c>
      <c r="J420" t="str">
        <f t="shared" ca="1" si="33"/>
        <v/>
      </c>
      <c r="L420" t="str">
        <f t="shared" si="34"/>
        <v>Hello , your loan of UGX  is due on 00-Jan-1900. Please clear to avoid penalty.</v>
      </c>
    </row>
    <row r="421" spans="4:12" x14ac:dyDescent="0.35">
      <c r="D421">
        <f t="shared" si="30"/>
        <v>0</v>
      </c>
      <c r="E421">
        <f t="shared" si="31"/>
        <v>0</v>
      </c>
      <c r="H421">
        <f t="shared" ca="1" si="32"/>
        <v>46115</v>
      </c>
      <c r="J421" t="str">
        <f t="shared" ca="1" si="33"/>
        <v/>
      </c>
      <c r="L421" t="str">
        <f t="shared" si="34"/>
        <v>Hello , your loan of UGX  is due on 00-Jan-1900. Please clear to avoid penalty.</v>
      </c>
    </row>
    <row r="422" spans="4:12" x14ac:dyDescent="0.35">
      <c r="D422">
        <f t="shared" si="30"/>
        <v>0</v>
      </c>
      <c r="E422">
        <f t="shared" si="31"/>
        <v>0</v>
      </c>
      <c r="H422">
        <f t="shared" ca="1" si="32"/>
        <v>46115</v>
      </c>
      <c r="J422" t="str">
        <f t="shared" ca="1" si="33"/>
        <v/>
      </c>
      <c r="L422" t="str">
        <f t="shared" si="34"/>
        <v>Hello , your loan of UGX  is due on 00-Jan-1900. Please clear to avoid penalty.</v>
      </c>
    </row>
    <row r="423" spans="4:12" x14ac:dyDescent="0.35">
      <c r="D423">
        <f t="shared" si="30"/>
        <v>0</v>
      </c>
      <c r="E423">
        <f t="shared" si="31"/>
        <v>0</v>
      </c>
      <c r="H423">
        <f t="shared" ca="1" si="32"/>
        <v>46115</v>
      </c>
      <c r="J423" t="str">
        <f t="shared" ca="1" si="33"/>
        <v/>
      </c>
      <c r="L423" t="str">
        <f t="shared" si="34"/>
        <v>Hello , your loan of UGX  is due on 00-Jan-1900. Please clear to avoid penalty.</v>
      </c>
    </row>
    <row r="424" spans="4:12" x14ac:dyDescent="0.35">
      <c r="D424">
        <f t="shared" si="30"/>
        <v>0</v>
      </c>
      <c r="E424">
        <f t="shared" si="31"/>
        <v>0</v>
      </c>
      <c r="H424">
        <f t="shared" ca="1" si="32"/>
        <v>46115</v>
      </c>
      <c r="J424" t="str">
        <f t="shared" ca="1" si="33"/>
        <v/>
      </c>
      <c r="L424" t="str">
        <f t="shared" si="34"/>
        <v>Hello , your loan of UGX  is due on 00-Jan-1900. Please clear to avoid penalty.</v>
      </c>
    </row>
    <row r="425" spans="4:12" x14ac:dyDescent="0.35">
      <c r="D425">
        <f t="shared" si="30"/>
        <v>0</v>
      </c>
      <c r="E425">
        <f t="shared" si="31"/>
        <v>0</v>
      </c>
      <c r="H425">
        <f t="shared" ca="1" si="32"/>
        <v>46115</v>
      </c>
      <c r="J425" t="str">
        <f t="shared" ca="1" si="33"/>
        <v/>
      </c>
      <c r="L425" t="str">
        <f t="shared" si="34"/>
        <v>Hello , your loan of UGX  is due on 00-Jan-1900. Please clear to avoid penalty.</v>
      </c>
    </row>
    <row r="426" spans="4:12" x14ac:dyDescent="0.35">
      <c r="D426">
        <f t="shared" si="30"/>
        <v>0</v>
      </c>
      <c r="E426">
        <f t="shared" si="31"/>
        <v>0</v>
      </c>
      <c r="H426">
        <f t="shared" ca="1" si="32"/>
        <v>46115</v>
      </c>
      <c r="J426" t="str">
        <f t="shared" ca="1" si="33"/>
        <v/>
      </c>
      <c r="L426" t="str">
        <f t="shared" si="34"/>
        <v>Hello , your loan of UGX  is due on 00-Jan-1900. Please clear to avoid penalty.</v>
      </c>
    </row>
    <row r="427" spans="4:12" x14ac:dyDescent="0.35">
      <c r="D427">
        <f t="shared" si="30"/>
        <v>0</v>
      </c>
      <c r="E427">
        <f t="shared" si="31"/>
        <v>0</v>
      </c>
      <c r="H427">
        <f t="shared" ca="1" si="32"/>
        <v>46115</v>
      </c>
      <c r="J427" t="str">
        <f t="shared" ca="1" si="33"/>
        <v/>
      </c>
      <c r="L427" t="str">
        <f t="shared" si="34"/>
        <v>Hello , your loan of UGX  is due on 00-Jan-1900. Please clear to avoid penalty.</v>
      </c>
    </row>
    <row r="428" spans="4:12" x14ac:dyDescent="0.35">
      <c r="D428">
        <f t="shared" si="30"/>
        <v>0</v>
      </c>
      <c r="E428">
        <f t="shared" si="31"/>
        <v>0</v>
      </c>
      <c r="H428">
        <f t="shared" ca="1" si="32"/>
        <v>46115</v>
      </c>
      <c r="J428" t="str">
        <f t="shared" ca="1" si="33"/>
        <v/>
      </c>
      <c r="L428" t="str">
        <f t="shared" si="34"/>
        <v>Hello , your loan of UGX  is due on 00-Jan-1900. Please clear to avoid penalty.</v>
      </c>
    </row>
    <row r="429" spans="4:12" x14ac:dyDescent="0.35">
      <c r="D429">
        <f t="shared" si="30"/>
        <v>0</v>
      </c>
      <c r="E429">
        <f t="shared" si="31"/>
        <v>0</v>
      </c>
      <c r="H429">
        <f t="shared" ca="1" si="32"/>
        <v>46115</v>
      </c>
      <c r="J429" t="str">
        <f t="shared" ca="1" si="33"/>
        <v/>
      </c>
      <c r="L429" t="str">
        <f t="shared" si="34"/>
        <v>Hello , your loan of UGX  is due on 00-Jan-1900. Please clear to avoid penalty.</v>
      </c>
    </row>
    <row r="430" spans="4:12" x14ac:dyDescent="0.35">
      <c r="D430">
        <f t="shared" si="30"/>
        <v>0</v>
      </c>
      <c r="E430">
        <f t="shared" si="31"/>
        <v>0</v>
      </c>
      <c r="H430">
        <f t="shared" ca="1" si="32"/>
        <v>46115</v>
      </c>
      <c r="J430" t="str">
        <f t="shared" ca="1" si="33"/>
        <v/>
      </c>
      <c r="L430" t="str">
        <f t="shared" si="34"/>
        <v>Hello , your loan of UGX  is due on 00-Jan-1900. Please clear to avoid penalty.</v>
      </c>
    </row>
    <row r="431" spans="4:12" x14ac:dyDescent="0.35">
      <c r="D431">
        <f t="shared" si="30"/>
        <v>0</v>
      </c>
      <c r="E431">
        <f t="shared" si="31"/>
        <v>0</v>
      </c>
      <c r="H431">
        <f t="shared" ca="1" si="32"/>
        <v>46115</v>
      </c>
      <c r="J431" t="str">
        <f t="shared" ca="1" si="33"/>
        <v/>
      </c>
      <c r="L431" t="str">
        <f t="shared" si="34"/>
        <v>Hello , your loan of UGX  is due on 00-Jan-1900. Please clear to avoid penalty.</v>
      </c>
    </row>
    <row r="432" spans="4:12" x14ac:dyDescent="0.35">
      <c r="D432">
        <f t="shared" si="30"/>
        <v>0</v>
      </c>
      <c r="E432">
        <f t="shared" si="31"/>
        <v>0</v>
      </c>
      <c r="H432">
        <f t="shared" ca="1" si="32"/>
        <v>46115</v>
      </c>
      <c r="J432" t="str">
        <f t="shared" ca="1" si="33"/>
        <v/>
      </c>
      <c r="L432" t="str">
        <f t="shared" si="34"/>
        <v>Hello , your loan of UGX  is due on 00-Jan-1900. Please clear to avoid penalty.</v>
      </c>
    </row>
    <row r="433" spans="4:12" x14ac:dyDescent="0.35">
      <c r="D433">
        <f t="shared" ref="D433:D483" si="35">C433*0.4</f>
        <v>0</v>
      </c>
      <c r="E433">
        <f t="shared" ref="E433:E483" si="36">C433+D433</f>
        <v>0</v>
      </c>
      <c r="H433">
        <f t="shared" ref="H433:H483" ca="1" si="37">IF(TODAY()&gt;G433, TODAY()-G433, 0)</f>
        <v>46115</v>
      </c>
      <c r="J433" t="str">
        <f t="shared" ref="J433:J483" ca="1" si="38">IF(J433="Closed","Closed",IF(TODAY()&gt;G433,"Late",IF(TODAY()=G433,"Due Today","Active")))</f>
        <v/>
      </c>
      <c r="L433" t="str">
        <f t="shared" ref="L433:L483" si="39">"Hello "&amp;A433&amp;", your loan of UGX "&amp;C433&amp;" is due on "&amp;TEXT(G433,"dd-mmm-yyyy")&amp;". Please clear to avoid penalty."</f>
        <v>Hello , your loan of UGX  is due on 00-Jan-1900. Please clear to avoid penalty.</v>
      </c>
    </row>
    <row r="434" spans="4:12" x14ac:dyDescent="0.35">
      <c r="D434">
        <f t="shared" si="35"/>
        <v>0</v>
      </c>
      <c r="E434">
        <f t="shared" si="36"/>
        <v>0</v>
      </c>
      <c r="H434">
        <f t="shared" ca="1" si="37"/>
        <v>46115</v>
      </c>
      <c r="J434" t="str">
        <f t="shared" ca="1" si="38"/>
        <v/>
      </c>
      <c r="L434" t="str">
        <f t="shared" si="39"/>
        <v>Hello , your loan of UGX  is due on 00-Jan-1900. Please clear to avoid penalty.</v>
      </c>
    </row>
    <row r="435" spans="4:12" x14ac:dyDescent="0.35">
      <c r="D435">
        <f t="shared" si="35"/>
        <v>0</v>
      </c>
      <c r="E435">
        <f t="shared" si="36"/>
        <v>0</v>
      </c>
      <c r="H435">
        <f t="shared" ca="1" si="37"/>
        <v>46115</v>
      </c>
      <c r="J435" t="str">
        <f t="shared" ca="1" si="38"/>
        <v/>
      </c>
      <c r="L435" t="str">
        <f t="shared" si="39"/>
        <v>Hello , your loan of UGX  is due on 00-Jan-1900. Please clear to avoid penalty.</v>
      </c>
    </row>
    <row r="436" spans="4:12" x14ac:dyDescent="0.35">
      <c r="D436">
        <f t="shared" si="35"/>
        <v>0</v>
      </c>
      <c r="E436">
        <f t="shared" si="36"/>
        <v>0</v>
      </c>
      <c r="H436">
        <f t="shared" ca="1" si="37"/>
        <v>46115</v>
      </c>
      <c r="J436" t="str">
        <f t="shared" ca="1" si="38"/>
        <v/>
      </c>
      <c r="L436" t="str">
        <f t="shared" si="39"/>
        <v>Hello , your loan of UGX  is due on 00-Jan-1900. Please clear to avoid penalty.</v>
      </c>
    </row>
    <row r="437" spans="4:12" x14ac:dyDescent="0.35">
      <c r="D437">
        <f t="shared" si="35"/>
        <v>0</v>
      </c>
      <c r="E437">
        <f t="shared" si="36"/>
        <v>0</v>
      </c>
      <c r="H437">
        <f t="shared" ca="1" si="37"/>
        <v>46115</v>
      </c>
      <c r="J437" t="str">
        <f t="shared" ca="1" si="38"/>
        <v/>
      </c>
      <c r="L437" t="str">
        <f t="shared" si="39"/>
        <v>Hello , your loan of UGX  is due on 00-Jan-1900. Please clear to avoid penalty.</v>
      </c>
    </row>
    <row r="438" spans="4:12" x14ac:dyDescent="0.35">
      <c r="D438">
        <f t="shared" si="35"/>
        <v>0</v>
      </c>
      <c r="E438">
        <f t="shared" si="36"/>
        <v>0</v>
      </c>
      <c r="H438">
        <f t="shared" ca="1" si="37"/>
        <v>46115</v>
      </c>
      <c r="J438" t="str">
        <f t="shared" ca="1" si="38"/>
        <v/>
      </c>
      <c r="L438" t="str">
        <f t="shared" si="39"/>
        <v>Hello , your loan of UGX  is due on 00-Jan-1900. Please clear to avoid penalty.</v>
      </c>
    </row>
    <row r="439" spans="4:12" x14ac:dyDescent="0.35">
      <c r="D439">
        <f t="shared" si="35"/>
        <v>0</v>
      </c>
      <c r="E439">
        <f t="shared" si="36"/>
        <v>0</v>
      </c>
      <c r="H439">
        <f t="shared" ca="1" si="37"/>
        <v>46115</v>
      </c>
      <c r="J439" t="str">
        <f t="shared" ca="1" si="38"/>
        <v/>
      </c>
      <c r="L439" t="str">
        <f t="shared" si="39"/>
        <v>Hello , your loan of UGX  is due on 00-Jan-1900. Please clear to avoid penalty.</v>
      </c>
    </row>
    <row r="440" spans="4:12" x14ac:dyDescent="0.35">
      <c r="D440">
        <f t="shared" si="35"/>
        <v>0</v>
      </c>
      <c r="E440">
        <f t="shared" si="36"/>
        <v>0</v>
      </c>
      <c r="H440">
        <f t="shared" ca="1" si="37"/>
        <v>46115</v>
      </c>
      <c r="J440" t="str">
        <f t="shared" ca="1" si="38"/>
        <v/>
      </c>
      <c r="L440" t="str">
        <f t="shared" si="39"/>
        <v>Hello , your loan of UGX  is due on 00-Jan-1900. Please clear to avoid penalty.</v>
      </c>
    </row>
    <row r="441" spans="4:12" x14ac:dyDescent="0.35">
      <c r="D441">
        <f t="shared" si="35"/>
        <v>0</v>
      </c>
      <c r="E441">
        <f t="shared" si="36"/>
        <v>0</v>
      </c>
      <c r="H441">
        <f t="shared" ca="1" si="37"/>
        <v>46115</v>
      </c>
      <c r="J441" t="str">
        <f t="shared" ca="1" si="38"/>
        <v/>
      </c>
      <c r="L441" t="str">
        <f t="shared" si="39"/>
        <v>Hello , your loan of UGX  is due on 00-Jan-1900. Please clear to avoid penalty.</v>
      </c>
    </row>
    <row r="442" spans="4:12" x14ac:dyDescent="0.35">
      <c r="D442">
        <f t="shared" si="35"/>
        <v>0</v>
      </c>
      <c r="E442">
        <f t="shared" si="36"/>
        <v>0</v>
      </c>
      <c r="H442">
        <f t="shared" ca="1" si="37"/>
        <v>46115</v>
      </c>
      <c r="J442" t="str">
        <f t="shared" ca="1" si="38"/>
        <v/>
      </c>
      <c r="L442" t="str">
        <f t="shared" si="39"/>
        <v>Hello , your loan of UGX  is due on 00-Jan-1900. Please clear to avoid penalty.</v>
      </c>
    </row>
    <row r="443" spans="4:12" x14ac:dyDescent="0.35">
      <c r="D443">
        <f t="shared" si="35"/>
        <v>0</v>
      </c>
      <c r="E443">
        <f t="shared" si="36"/>
        <v>0</v>
      </c>
      <c r="H443">
        <f t="shared" ca="1" si="37"/>
        <v>46115</v>
      </c>
      <c r="J443" t="str">
        <f t="shared" ca="1" si="38"/>
        <v/>
      </c>
      <c r="L443" t="str">
        <f t="shared" si="39"/>
        <v>Hello , your loan of UGX  is due on 00-Jan-1900. Please clear to avoid penalty.</v>
      </c>
    </row>
    <row r="444" spans="4:12" x14ac:dyDescent="0.35">
      <c r="D444">
        <f t="shared" si="35"/>
        <v>0</v>
      </c>
      <c r="E444">
        <f t="shared" si="36"/>
        <v>0</v>
      </c>
      <c r="H444">
        <f t="shared" ca="1" si="37"/>
        <v>46115</v>
      </c>
      <c r="J444" t="str">
        <f t="shared" ca="1" si="38"/>
        <v/>
      </c>
      <c r="L444" t="str">
        <f t="shared" si="39"/>
        <v>Hello , your loan of UGX  is due on 00-Jan-1900. Please clear to avoid penalty.</v>
      </c>
    </row>
    <row r="445" spans="4:12" x14ac:dyDescent="0.35">
      <c r="D445">
        <f t="shared" si="35"/>
        <v>0</v>
      </c>
      <c r="E445">
        <f t="shared" si="36"/>
        <v>0</v>
      </c>
      <c r="H445">
        <f t="shared" ca="1" si="37"/>
        <v>46115</v>
      </c>
      <c r="J445" t="str">
        <f t="shared" ca="1" si="38"/>
        <v/>
      </c>
      <c r="L445" t="str">
        <f t="shared" si="39"/>
        <v>Hello , your loan of UGX  is due on 00-Jan-1900. Please clear to avoid penalty.</v>
      </c>
    </row>
    <row r="446" spans="4:12" x14ac:dyDescent="0.35">
      <c r="D446">
        <f t="shared" si="35"/>
        <v>0</v>
      </c>
      <c r="E446">
        <f t="shared" si="36"/>
        <v>0</v>
      </c>
      <c r="H446">
        <f t="shared" ca="1" si="37"/>
        <v>46115</v>
      </c>
      <c r="J446" t="str">
        <f t="shared" ca="1" si="38"/>
        <v/>
      </c>
      <c r="L446" t="str">
        <f t="shared" si="39"/>
        <v>Hello , your loan of UGX  is due on 00-Jan-1900. Please clear to avoid penalty.</v>
      </c>
    </row>
    <row r="447" spans="4:12" x14ac:dyDescent="0.35">
      <c r="D447">
        <f t="shared" si="35"/>
        <v>0</v>
      </c>
      <c r="E447">
        <f t="shared" si="36"/>
        <v>0</v>
      </c>
      <c r="H447">
        <f t="shared" ca="1" si="37"/>
        <v>46115</v>
      </c>
      <c r="J447" t="str">
        <f t="shared" ca="1" si="38"/>
        <v/>
      </c>
      <c r="L447" t="str">
        <f t="shared" si="39"/>
        <v>Hello , your loan of UGX  is due on 00-Jan-1900. Please clear to avoid penalty.</v>
      </c>
    </row>
    <row r="448" spans="4:12" x14ac:dyDescent="0.35">
      <c r="D448">
        <f t="shared" si="35"/>
        <v>0</v>
      </c>
      <c r="E448">
        <f t="shared" si="36"/>
        <v>0</v>
      </c>
      <c r="H448">
        <f t="shared" ca="1" si="37"/>
        <v>46115</v>
      </c>
      <c r="J448" t="str">
        <f t="shared" ca="1" si="38"/>
        <v/>
      </c>
      <c r="L448" t="str">
        <f t="shared" si="39"/>
        <v>Hello , your loan of UGX  is due on 00-Jan-1900. Please clear to avoid penalty.</v>
      </c>
    </row>
    <row r="449" spans="4:12" x14ac:dyDescent="0.35">
      <c r="D449">
        <f t="shared" si="35"/>
        <v>0</v>
      </c>
      <c r="E449">
        <f t="shared" si="36"/>
        <v>0</v>
      </c>
      <c r="H449">
        <f t="shared" ca="1" si="37"/>
        <v>46115</v>
      </c>
      <c r="J449" t="str">
        <f t="shared" ca="1" si="38"/>
        <v/>
      </c>
      <c r="L449" t="str">
        <f t="shared" si="39"/>
        <v>Hello , your loan of UGX  is due on 00-Jan-1900. Please clear to avoid penalty.</v>
      </c>
    </row>
    <row r="450" spans="4:12" x14ac:dyDescent="0.35">
      <c r="D450">
        <f t="shared" si="35"/>
        <v>0</v>
      </c>
      <c r="E450">
        <f t="shared" si="36"/>
        <v>0</v>
      </c>
      <c r="H450">
        <f t="shared" ca="1" si="37"/>
        <v>46115</v>
      </c>
      <c r="J450" t="str">
        <f t="shared" ca="1" si="38"/>
        <v/>
      </c>
      <c r="L450" t="str">
        <f t="shared" si="39"/>
        <v>Hello , your loan of UGX  is due on 00-Jan-1900. Please clear to avoid penalty.</v>
      </c>
    </row>
    <row r="451" spans="4:12" x14ac:dyDescent="0.35">
      <c r="D451">
        <f t="shared" si="35"/>
        <v>0</v>
      </c>
      <c r="E451">
        <f t="shared" si="36"/>
        <v>0</v>
      </c>
      <c r="H451">
        <f t="shared" ca="1" si="37"/>
        <v>46115</v>
      </c>
      <c r="J451" t="str">
        <f t="shared" ca="1" si="38"/>
        <v/>
      </c>
      <c r="L451" t="str">
        <f t="shared" si="39"/>
        <v>Hello , your loan of UGX  is due on 00-Jan-1900. Please clear to avoid penalty.</v>
      </c>
    </row>
    <row r="452" spans="4:12" x14ac:dyDescent="0.35">
      <c r="D452">
        <f t="shared" si="35"/>
        <v>0</v>
      </c>
      <c r="E452">
        <f t="shared" si="36"/>
        <v>0</v>
      </c>
      <c r="H452">
        <f t="shared" ca="1" si="37"/>
        <v>46115</v>
      </c>
      <c r="J452" t="str">
        <f t="shared" ca="1" si="38"/>
        <v/>
      </c>
      <c r="L452" t="str">
        <f t="shared" si="39"/>
        <v>Hello , your loan of UGX  is due on 00-Jan-1900. Please clear to avoid penalty.</v>
      </c>
    </row>
    <row r="453" spans="4:12" x14ac:dyDescent="0.35">
      <c r="D453">
        <f t="shared" si="35"/>
        <v>0</v>
      </c>
      <c r="E453">
        <f t="shared" si="36"/>
        <v>0</v>
      </c>
      <c r="H453">
        <f t="shared" ca="1" si="37"/>
        <v>46115</v>
      </c>
      <c r="J453" t="str">
        <f t="shared" ca="1" si="38"/>
        <v/>
      </c>
      <c r="L453" t="str">
        <f t="shared" si="39"/>
        <v>Hello , your loan of UGX  is due on 00-Jan-1900. Please clear to avoid penalty.</v>
      </c>
    </row>
    <row r="454" spans="4:12" x14ac:dyDescent="0.35">
      <c r="D454">
        <f t="shared" si="35"/>
        <v>0</v>
      </c>
      <c r="E454">
        <f t="shared" si="36"/>
        <v>0</v>
      </c>
      <c r="H454">
        <f t="shared" ca="1" si="37"/>
        <v>46115</v>
      </c>
      <c r="J454" t="str">
        <f t="shared" ca="1" si="38"/>
        <v/>
      </c>
      <c r="L454" t="str">
        <f t="shared" si="39"/>
        <v>Hello , your loan of UGX  is due on 00-Jan-1900. Please clear to avoid penalty.</v>
      </c>
    </row>
    <row r="455" spans="4:12" x14ac:dyDescent="0.35">
      <c r="D455">
        <f t="shared" si="35"/>
        <v>0</v>
      </c>
      <c r="E455">
        <f t="shared" si="36"/>
        <v>0</v>
      </c>
      <c r="H455">
        <f t="shared" ca="1" si="37"/>
        <v>46115</v>
      </c>
      <c r="J455" t="str">
        <f t="shared" ca="1" si="38"/>
        <v/>
      </c>
      <c r="L455" t="str">
        <f t="shared" si="39"/>
        <v>Hello , your loan of UGX  is due on 00-Jan-1900. Please clear to avoid penalty.</v>
      </c>
    </row>
    <row r="456" spans="4:12" x14ac:dyDescent="0.35">
      <c r="D456">
        <f t="shared" si="35"/>
        <v>0</v>
      </c>
      <c r="E456">
        <f t="shared" si="36"/>
        <v>0</v>
      </c>
      <c r="H456">
        <f t="shared" ca="1" si="37"/>
        <v>46115</v>
      </c>
      <c r="J456" t="str">
        <f t="shared" ca="1" si="38"/>
        <v/>
      </c>
      <c r="L456" t="str">
        <f t="shared" si="39"/>
        <v>Hello , your loan of UGX  is due on 00-Jan-1900. Please clear to avoid penalty.</v>
      </c>
    </row>
    <row r="457" spans="4:12" x14ac:dyDescent="0.35">
      <c r="D457">
        <f t="shared" si="35"/>
        <v>0</v>
      </c>
      <c r="E457">
        <f t="shared" si="36"/>
        <v>0</v>
      </c>
      <c r="H457">
        <f t="shared" ca="1" si="37"/>
        <v>46115</v>
      </c>
      <c r="J457" t="str">
        <f t="shared" ca="1" si="38"/>
        <v/>
      </c>
      <c r="L457" t="str">
        <f t="shared" si="39"/>
        <v>Hello , your loan of UGX  is due on 00-Jan-1900. Please clear to avoid penalty.</v>
      </c>
    </row>
    <row r="458" spans="4:12" x14ac:dyDescent="0.35">
      <c r="D458">
        <f t="shared" si="35"/>
        <v>0</v>
      </c>
      <c r="E458">
        <f t="shared" si="36"/>
        <v>0</v>
      </c>
      <c r="H458">
        <f t="shared" ca="1" si="37"/>
        <v>46115</v>
      </c>
      <c r="J458" t="str">
        <f t="shared" ca="1" si="38"/>
        <v/>
      </c>
      <c r="L458" t="str">
        <f t="shared" si="39"/>
        <v>Hello , your loan of UGX  is due on 00-Jan-1900. Please clear to avoid penalty.</v>
      </c>
    </row>
    <row r="459" spans="4:12" x14ac:dyDescent="0.35">
      <c r="D459">
        <f t="shared" si="35"/>
        <v>0</v>
      </c>
      <c r="E459">
        <f t="shared" si="36"/>
        <v>0</v>
      </c>
      <c r="H459">
        <f t="shared" ca="1" si="37"/>
        <v>46115</v>
      </c>
      <c r="J459" t="str">
        <f t="shared" ca="1" si="38"/>
        <v/>
      </c>
      <c r="L459" t="str">
        <f t="shared" si="39"/>
        <v>Hello , your loan of UGX  is due on 00-Jan-1900. Please clear to avoid penalty.</v>
      </c>
    </row>
    <row r="460" spans="4:12" x14ac:dyDescent="0.35">
      <c r="D460">
        <f t="shared" si="35"/>
        <v>0</v>
      </c>
      <c r="E460">
        <f t="shared" si="36"/>
        <v>0</v>
      </c>
      <c r="H460">
        <f t="shared" ca="1" si="37"/>
        <v>46115</v>
      </c>
      <c r="J460" t="str">
        <f t="shared" ca="1" si="38"/>
        <v/>
      </c>
      <c r="L460" t="str">
        <f t="shared" si="39"/>
        <v>Hello , your loan of UGX  is due on 00-Jan-1900. Please clear to avoid penalty.</v>
      </c>
    </row>
    <row r="461" spans="4:12" x14ac:dyDescent="0.35">
      <c r="D461">
        <f t="shared" si="35"/>
        <v>0</v>
      </c>
      <c r="E461">
        <f t="shared" si="36"/>
        <v>0</v>
      </c>
      <c r="H461">
        <f t="shared" ca="1" si="37"/>
        <v>46115</v>
      </c>
      <c r="J461" t="str">
        <f t="shared" ca="1" si="38"/>
        <v/>
      </c>
      <c r="L461" t="str">
        <f t="shared" si="39"/>
        <v>Hello , your loan of UGX  is due on 00-Jan-1900. Please clear to avoid penalty.</v>
      </c>
    </row>
    <row r="462" spans="4:12" x14ac:dyDescent="0.35">
      <c r="D462">
        <f t="shared" si="35"/>
        <v>0</v>
      </c>
      <c r="E462">
        <f t="shared" si="36"/>
        <v>0</v>
      </c>
      <c r="H462">
        <f t="shared" ca="1" si="37"/>
        <v>46115</v>
      </c>
      <c r="J462" t="str">
        <f t="shared" ca="1" si="38"/>
        <v/>
      </c>
      <c r="L462" t="str">
        <f t="shared" si="39"/>
        <v>Hello , your loan of UGX  is due on 00-Jan-1900. Please clear to avoid penalty.</v>
      </c>
    </row>
    <row r="463" spans="4:12" x14ac:dyDescent="0.35">
      <c r="D463">
        <f t="shared" si="35"/>
        <v>0</v>
      </c>
      <c r="E463">
        <f t="shared" si="36"/>
        <v>0</v>
      </c>
      <c r="H463">
        <f t="shared" ca="1" si="37"/>
        <v>46115</v>
      </c>
      <c r="J463" t="str">
        <f t="shared" ca="1" si="38"/>
        <v/>
      </c>
      <c r="L463" t="str">
        <f t="shared" si="39"/>
        <v>Hello , your loan of UGX  is due on 00-Jan-1900. Please clear to avoid penalty.</v>
      </c>
    </row>
    <row r="464" spans="4:12" x14ac:dyDescent="0.35">
      <c r="D464">
        <f t="shared" si="35"/>
        <v>0</v>
      </c>
      <c r="E464">
        <f t="shared" si="36"/>
        <v>0</v>
      </c>
      <c r="H464">
        <f t="shared" ca="1" si="37"/>
        <v>46115</v>
      </c>
      <c r="J464" t="str">
        <f t="shared" ca="1" si="38"/>
        <v/>
      </c>
      <c r="L464" t="str">
        <f t="shared" si="39"/>
        <v>Hello , your loan of UGX  is due on 00-Jan-1900. Please clear to avoid penalty.</v>
      </c>
    </row>
    <row r="465" spans="4:12" x14ac:dyDescent="0.35">
      <c r="D465">
        <f t="shared" si="35"/>
        <v>0</v>
      </c>
      <c r="E465">
        <f t="shared" si="36"/>
        <v>0</v>
      </c>
      <c r="H465">
        <f t="shared" ca="1" si="37"/>
        <v>46115</v>
      </c>
      <c r="J465" t="str">
        <f t="shared" ca="1" si="38"/>
        <v/>
      </c>
      <c r="L465" t="str">
        <f t="shared" si="39"/>
        <v>Hello , your loan of UGX  is due on 00-Jan-1900. Please clear to avoid penalty.</v>
      </c>
    </row>
    <row r="466" spans="4:12" x14ac:dyDescent="0.35">
      <c r="D466">
        <f t="shared" si="35"/>
        <v>0</v>
      </c>
      <c r="E466">
        <f t="shared" si="36"/>
        <v>0</v>
      </c>
      <c r="H466">
        <f t="shared" ca="1" si="37"/>
        <v>46115</v>
      </c>
      <c r="J466" t="str">
        <f t="shared" ca="1" si="38"/>
        <v/>
      </c>
      <c r="L466" t="str">
        <f t="shared" si="39"/>
        <v>Hello , your loan of UGX  is due on 00-Jan-1900. Please clear to avoid penalty.</v>
      </c>
    </row>
    <row r="467" spans="4:12" x14ac:dyDescent="0.35">
      <c r="D467">
        <f t="shared" si="35"/>
        <v>0</v>
      </c>
      <c r="E467">
        <f t="shared" si="36"/>
        <v>0</v>
      </c>
      <c r="H467">
        <f t="shared" ca="1" si="37"/>
        <v>46115</v>
      </c>
      <c r="J467" t="str">
        <f t="shared" ca="1" si="38"/>
        <v/>
      </c>
      <c r="L467" t="str">
        <f t="shared" si="39"/>
        <v>Hello , your loan of UGX  is due on 00-Jan-1900. Please clear to avoid penalty.</v>
      </c>
    </row>
    <row r="468" spans="4:12" x14ac:dyDescent="0.35">
      <c r="D468">
        <f t="shared" si="35"/>
        <v>0</v>
      </c>
      <c r="E468">
        <f t="shared" si="36"/>
        <v>0</v>
      </c>
      <c r="H468">
        <f t="shared" ca="1" si="37"/>
        <v>46115</v>
      </c>
      <c r="J468" t="str">
        <f t="shared" ca="1" si="38"/>
        <v/>
      </c>
      <c r="L468" t="str">
        <f t="shared" si="39"/>
        <v>Hello , your loan of UGX  is due on 00-Jan-1900. Please clear to avoid penalty.</v>
      </c>
    </row>
    <row r="469" spans="4:12" x14ac:dyDescent="0.35">
      <c r="D469">
        <f t="shared" si="35"/>
        <v>0</v>
      </c>
      <c r="E469">
        <f t="shared" si="36"/>
        <v>0</v>
      </c>
      <c r="H469">
        <f t="shared" ca="1" si="37"/>
        <v>46115</v>
      </c>
      <c r="J469" t="str">
        <f t="shared" ca="1" si="38"/>
        <v/>
      </c>
      <c r="L469" t="str">
        <f t="shared" si="39"/>
        <v>Hello , your loan of UGX  is due on 00-Jan-1900. Please clear to avoid penalty.</v>
      </c>
    </row>
    <row r="470" spans="4:12" x14ac:dyDescent="0.35">
      <c r="D470">
        <f t="shared" si="35"/>
        <v>0</v>
      </c>
      <c r="E470">
        <f t="shared" si="36"/>
        <v>0</v>
      </c>
      <c r="H470">
        <f t="shared" ca="1" si="37"/>
        <v>46115</v>
      </c>
      <c r="J470" t="str">
        <f t="shared" ca="1" si="38"/>
        <v/>
      </c>
      <c r="L470" t="str">
        <f t="shared" si="39"/>
        <v>Hello , your loan of UGX  is due on 00-Jan-1900. Please clear to avoid penalty.</v>
      </c>
    </row>
    <row r="471" spans="4:12" x14ac:dyDescent="0.35">
      <c r="D471">
        <f t="shared" si="35"/>
        <v>0</v>
      </c>
      <c r="E471">
        <f t="shared" si="36"/>
        <v>0</v>
      </c>
      <c r="H471">
        <f t="shared" ca="1" si="37"/>
        <v>46115</v>
      </c>
      <c r="J471" t="str">
        <f t="shared" ca="1" si="38"/>
        <v/>
      </c>
      <c r="L471" t="str">
        <f t="shared" si="39"/>
        <v>Hello , your loan of UGX  is due on 00-Jan-1900. Please clear to avoid penalty.</v>
      </c>
    </row>
    <row r="472" spans="4:12" x14ac:dyDescent="0.35">
      <c r="D472">
        <f t="shared" si="35"/>
        <v>0</v>
      </c>
      <c r="E472">
        <f t="shared" si="36"/>
        <v>0</v>
      </c>
      <c r="H472">
        <f t="shared" ca="1" si="37"/>
        <v>46115</v>
      </c>
      <c r="J472" t="str">
        <f t="shared" ca="1" si="38"/>
        <v/>
      </c>
      <c r="L472" t="str">
        <f t="shared" si="39"/>
        <v>Hello , your loan of UGX  is due on 00-Jan-1900. Please clear to avoid penalty.</v>
      </c>
    </row>
    <row r="473" spans="4:12" x14ac:dyDescent="0.35">
      <c r="D473">
        <f t="shared" si="35"/>
        <v>0</v>
      </c>
      <c r="E473">
        <f t="shared" si="36"/>
        <v>0</v>
      </c>
      <c r="H473">
        <f t="shared" ca="1" si="37"/>
        <v>46115</v>
      </c>
      <c r="J473" t="str">
        <f t="shared" ca="1" si="38"/>
        <v/>
      </c>
      <c r="L473" t="str">
        <f t="shared" si="39"/>
        <v>Hello , your loan of UGX  is due on 00-Jan-1900. Please clear to avoid penalty.</v>
      </c>
    </row>
    <row r="474" spans="4:12" x14ac:dyDescent="0.35">
      <c r="D474">
        <f t="shared" si="35"/>
        <v>0</v>
      </c>
      <c r="E474">
        <f t="shared" si="36"/>
        <v>0</v>
      </c>
      <c r="H474">
        <f t="shared" ca="1" si="37"/>
        <v>46115</v>
      </c>
      <c r="J474" t="str">
        <f t="shared" ca="1" si="38"/>
        <v/>
      </c>
      <c r="L474" t="str">
        <f t="shared" si="39"/>
        <v>Hello , your loan of UGX  is due on 00-Jan-1900. Please clear to avoid penalty.</v>
      </c>
    </row>
    <row r="475" spans="4:12" x14ac:dyDescent="0.35">
      <c r="D475">
        <f t="shared" si="35"/>
        <v>0</v>
      </c>
      <c r="E475">
        <f t="shared" si="36"/>
        <v>0</v>
      </c>
      <c r="H475">
        <f t="shared" ca="1" si="37"/>
        <v>46115</v>
      </c>
      <c r="J475" t="str">
        <f t="shared" ca="1" si="38"/>
        <v/>
      </c>
      <c r="L475" t="str">
        <f t="shared" si="39"/>
        <v>Hello , your loan of UGX  is due on 00-Jan-1900. Please clear to avoid penalty.</v>
      </c>
    </row>
    <row r="476" spans="4:12" x14ac:dyDescent="0.35">
      <c r="D476">
        <f t="shared" si="35"/>
        <v>0</v>
      </c>
      <c r="E476">
        <f t="shared" si="36"/>
        <v>0</v>
      </c>
      <c r="H476">
        <f t="shared" ca="1" si="37"/>
        <v>46115</v>
      </c>
      <c r="J476" t="str">
        <f t="shared" ca="1" si="38"/>
        <v/>
      </c>
      <c r="L476" t="str">
        <f t="shared" si="39"/>
        <v>Hello , your loan of UGX  is due on 00-Jan-1900. Please clear to avoid penalty.</v>
      </c>
    </row>
    <row r="477" spans="4:12" x14ac:dyDescent="0.35">
      <c r="D477">
        <f t="shared" si="35"/>
        <v>0</v>
      </c>
      <c r="E477">
        <f t="shared" si="36"/>
        <v>0</v>
      </c>
      <c r="H477">
        <f t="shared" ca="1" si="37"/>
        <v>46115</v>
      </c>
      <c r="J477" t="str">
        <f t="shared" ca="1" si="38"/>
        <v/>
      </c>
      <c r="L477" t="str">
        <f t="shared" si="39"/>
        <v>Hello , your loan of UGX  is due on 00-Jan-1900. Please clear to avoid penalty.</v>
      </c>
    </row>
    <row r="478" spans="4:12" x14ac:dyDescent="0.35">
      <c r="D478">
        <f t="shared" si="35"/>
        <v>0</v>
      </c>
      <c r="E478">
        <f t="shared" si="36"/>
        <v>0</v>
      </c>
      <c r="H478">
        <f t="shared" ca="1" si="37"/>
        <v>46115</v>
      </c>
      <c r="J478" t="str">
        <f t="shared" ca="1" si="38"/>
        <v/>
      </c>
      <c r="L478" t="str">
        <f t="shared" si="39"/>
        <v>Hello , your loan of UGX  is due on 00-Jan-1900. Please clear to avoid penalty.</v>
      </c>
    </row>
    <row r="479" spans="4:12" x14ac:dyDescent="0.35">
      <c r="D479">
        <f t="shared" si="35"/>
        <v>0</v>
      </c>
      <c r="E479">
        <f t="shared" si="36"/>
        <v>0</v>
      </c>
      <c r="H479">
        <f t="shared" ca="1" si="37"/>
        <v>46115</v>
      </c>
      <c r="J479" t="str">
        <f t="shared" ca="1" si="38"/>
        <v/>
      </c>
      <c r="L479" t="str">
        <f t="shared" si="39"/>
        <v>Hello , your loan of UGX  is due on 00-Jan-1900. Please clear to avoid penalty.</v>
      </c>
    </row>
    <row r="480" spans="4:12" x14ac:dyDescent="0.35">
      <c r="D480">
        <f t="shared" si="35"/>
        <v>0</v>
      </c>
      <c r="E480">
        <f t="shared" si="36"/>
        <v>0</v>
      </c>
      <c r="H480">
        <f t="shared" ca="1" si="37"/>
        <v>46115</v>
      </c>
      <c r="J480" t="str">
        <f t="shared" ca="1" si="38"/>
        <v/>
      </c>
      <c r="L480" t="str">
        <f t="shared" si="39"/>
        <v>Hello , your loan of UGX  is due on 00-Jan-1900. Please clear to avoid penalty.</v>
      </c>
    </row>
    <row r="481" spans="4:12" x14ac:dyDescent="0.35">
      <c r="D481">
        <f t="shared" si="35"/>
        <v>0</v>
      </c>
      <c r="E481">
        <f t="shared" si="36"/>
        <v>0</v>
      </c>
      <c r="H481">
        <f t="shared" ca="1" si="37"/>
        <v>46115</v>
      </c>
      <c r="J481" t="str">
        <f t="shared" ca="1" si="38"/>
        <v/>
      </c>
      <c r="L481" t="str">
        <f t="shared" si="39"/>
        <v>Hello , your loan of UGX  is due on 00-Jan-1900. Please clear to avoid penalty.</v>
      </c>
    </row>
    <row r="482" spans="4:12" x14ac:dyDescent="0.35">
      <c r="D482">
        <f t="shared" si="35"/>
        <v>0</v>
      </c>
      <c r="E482">
        <f t="shared" si="36"/>
        <v>0</v>
      </c>
      <c r="H482">
        <f t="shared" ca="1" si="37"/>
        <v>46115</v>
      </c>
      <c r="J482" t="str">
        <f t="shared" ca="1" si="38"/>
        <v/>
      </c>
      <c r="L482" t="str">
        <f t="shared" si="39"/>
        <v>Hello , your loan of UGX  is due on 00-Jan-1900. Please clear to avoid penalty.</v>
      </c>
    </row>
    <row r="483" spans="4:12" x14ac:dyDescent="0.35">
      <c r="D483">
        <f t="shared" si="35"/>
        <v>0</v>
      </c>
      <c r="E483">
        <f t="shared" si="36"/>
        <v>0</v>
      </c>
      <c r="H483">
        <f t="shared" ca="1" si="37"/>
        <v>46115</v>
      </c>
      <c r="J483" t="str">
        <f t="shared" ca="1" si="38"/>
        <v/>
      </c>
      <c r="L483" t="str">
        <f t="shared" si="39"/>
        <v>Hello , your loan of UGX  is due on 00-Jan-1900. Please clear to avoid penalty.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Investors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2026-03-03T20:48:01Z</dcterms:created>
  <dcterms:modified xsi:type="dcterms:W3CDTF">2026-04-03T16:37:34Z</dcterms:modified>
</cp:coreProperties>
</file>